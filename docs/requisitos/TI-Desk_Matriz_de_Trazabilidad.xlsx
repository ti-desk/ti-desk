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eyenda" sheetId="1" state="visible" r:id="rId3"/>
    <sheet name="Trazabilidad" sheetId="2" state="visible" r:id="rId4"/>
    <sheet name="Resumen" sheetId="3" state="visible" r:id="rId5"/>
    <sheet name="CP transversales" sheetId="4" state="visible" r:id="rId6"/>
  </sheets>
  <definedNames>
    <definedName function="false" hidden="true" localSheetId="1" name="_xlnm._FilterDatabase" vbProcedure="false">Trazabilidad!$A$1:$K$73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<sst xmlns="http://schemas.openxmlformats.org/spreadsheetml/2006/main" count="663" uniqueCount="240">
  <si>
    <t xml:space="preserve">Matriz de trazabilidad TI-Desk · Requisito → Historia → Escenario Gherkin → Caso de prueba → Prueba automatizada</t>
  </si>
  <si>
    <t xml:space="preserve">Propietaria: Melisa (Product Owner) · Octubre 2026 · Fuente de los escenarios: Product Backlog priorizado v1.1</t>
  </si>
  <si>
    <t xml:space="preserve">Cómo se llena</t>
  </si>
  <si>
    <t xml:space="preserve">1. Las columnas H (Caso(s) de prueba) e I (Prueba automatizada) están en azul con fondo amarillo: son las únicas que se editan.</t>
  </si>
  <si>
    <t xml:space="preserve">2. La columna H ya viene prellenada con los CP del Plan de pruebas v1 de Brenda (CP-001 a CP-048). Si un escenario tiene varios, se separan con coma; una celda vacía es un hueco de cobertura.</t>
  </si>
  <si>
    <t xml:space="preserve">3. En I se anota la clase y el método de la prueba automatizada, cuando exista. Todavía está vacía porque las pruebas se escriben a lo largo de los sprints.</t>
  </si>
  <si>
    <t xml:space="preserve">5. La columna Observación señala los huecos de cobertura y las diferencias entre el plan y el backlog.</t>
  </si>
  <si>
    <t xml:space="preserve">4. La columna Estado y la hoja Resumen se calculan solas; no se editan.</t>
  </si>
  <si>
    <t xml:space="preserve">Ejemplo de llenado (no es un dato real)</t>
  </si>
  <si>
    <t xml:space="preserve">Escenario "Registro exitoso" (RF-01, HU-01) → H: CP-001, CP-002 · I: AuthControllerTest.registroExitoso</t>
  </si>
  <si>
    <t xml:space="preserve">Supuestos</t>
  </si>
  <si>
    <t xml:space="preserve">• Un escenario cuenta como "con caso de prueba" cuando H no está vacía, y como "automatizado" cuando I no está vacía.</t>
  </si>
  <si>
    <t xml:space="preserve">• La columna Tipo (Positivo / Negativo) la asignó la PO. Los escenarios que devuelven una lista vacía o restringen permisos por diseño se clasificaron según su resultado esperado; se pueden reclasificar.</t>
  </si>
  <si>
    <t xml:space="preserve">• "Parcial (v0.5.0)" incluye RF-01 a RF-08, RF-10, RF-11 y RF-13, según el anteproyecto.</t>
  </si>
  <si>
    <t xml:space="preserve">• HU-09 se dividió en HU-09a, HU-09b y HU-09c en el Backlog v1.1; las tres corresponden a RF-13.</t>
  </si>
  <si>
    <t xml:space="preserve">• Criterio de aceptación para el parcial: cada requisito M y S con al menos una prueba automatizada (anteproyecto, sección 8).</t>
  </si>
  <si>
    <t xml:space="preserve">Requisito</t>
  </si>
  <si>
    <t xml:space="preserve">Historia</t>
  </si>
  <si>
    <t xml:space="preserve">Prio.</t>
  </si>
  <si>
    <t xml:space="preserve">Sprint</t>
  </si>
  <si>
    <t xml:space="preserve">Dueño de la historia</t>
  </si>
  <si>
    <t xml:space="preserve">Escenario Gherkin (Backlog v1.1)</t>
  </si>
  <si>
    <t xml:space="preserve">Tipo</t>
  </si>
  <si>
    <t xml:space="preserve">Caso(s) de prueba (CP)</t>
  </si>
  <si>
    <t xml:space="preserve">Prueba automatizada</t>
  </si>
  <si>
    <t xml:space="preserve">Estado</t>
  </si>
  <si>
    <t xml:space="preserve">Observación</t>
  </si>
  <si>
    <t xml:space="preserve">RF-01</t>
  </si>
  <si>
    <t xml:space="preserve">HU-01</t>
  </si>
  <si>
    <t xml:space="preserve">M</t>
  </si>
  <si>
    <t xml:space="preserve">Sashi</t>
  </si>
  <si>
    <t xml:space="preserve">Registro exitoso</t>
  </si>
  <si>
    <t xml:space="preserve">Positivo</t>
  </si>
  <si>
    <t xml:space="preserve">CP-001</t>
  </si>
  <si>
    <t xml:space="preserve">Correo duplicado</t>
  </si>
  <si>
    <t xml:space="preserve">Negativo</t>
  </si>
  <si>
    <t xml:space="preserve">CP-002</t>
  </si>
  <si>
    <t xml:space="preserve">El CP-002 dice "409 o 400"; el backlog exige 409. Pedir a Brenda que lo precise.</t>
  </si>
  <si>
    <t xml:space="preserve">Datos inválidos</t>
  </si>
  <si>
    <t xml:space="preserve">CP-003</t>
  </si>
  <si>
    <t xml:space="preserve">RF-02</t>
  </si>
  <si>
    <t xml:space="preserve">HU-02</t>
  </si>
  <si>
    <t xml:space="preserve">Login correcto</t>
  </si>
  <si>
    <t xml:space="preserve">CP-004</t>
  </si>
  <si>
    <t xml:space="preserve">Credenciales incorrectas</t>
  </si>
  <si>
    <t xml:space="preserve">CP-005</t>
  </si>
  <si>
    <t xml:space="preserve">Token vencido</t>
  </si>
  <si>
    <t xml:space="preserve">CP-006</t>
  </si>
  <si>
    <t xml:space="preserve">RF-03</t>
  </si>
  <si>
    <t xml:space="preserve">HU-03</t>
  </si>
  <si>
    <t xml:space="preserve">Cambiar rol</t>
  </si>
  <si>
    <t xml:space="preserve">CP-007</t>
  </si>
  <si>
    <t xml:space="preserve">Desactivar usuario</t>
  </si>
  <si>
    <t xml:space="preserve">CP-009</t>
  </si>
  <si>
    <t xml:space="preserve">Sin permiso</t>
  </si>
  <si>
    <t xml:space="preserve">CP-008</t>
  </si>
  <si>
    <t xml:space="preserve">RF-04</t>
  </si>
  <si>
    <t xml:space="preserve">HU-04</t>
  </si>
  <si>
    <t xml:space="preserve">Ulises</t>
  </si>
  <si>
    <t xml:space="preserve">Creación exitosa</t>
  </si>
  <si>
    <t xml:space="preserve">CP-010, CP-012</t>
  </si>
  <si>
    <t xml:space="preserve">CP-012 cubre folios únicos.</t>
  </si>
  <si>
    <t xml:space="preserve">Ticket ligado a un activo</t>
  </si>
  <si>
    <t xml:space="preserve">CP-040</t>
  </si>
  <si>
    <t xml:space="preserve">Campos obligatorios faltantes</t>
  </si>
  <si>
    <t xml:space="preserve">CP-011</t>
  </si>
  <si>
    <t xml:space="preserve">Activo inexistente</t>
  </si>
  <si>
    <t xml:space="preserve">SIN CASO DE PRUEBA: pedir a Brenda un CP nuevo.</t>
  </si>
  <si>
    <t xml:space="preserve">Activo dado de baja (por confirmar con Ulises)</t>
  </si>
  <si>
    <t xml:space="preserve">SIN CASO DE PRUEBA: regla por confirmar con Ulises antes de pedir el CP.</t>
  </si>
  <si>
    <t xml:space="preserve">RF-05</t>
  </si>
  <si>
    <t xml:space="preserve">HU-05</t>
  </si>
  <si>
    <t xml:space="preserve">Visibilidad del usuario</t>
  </si>
  <si>
    <t xml:space="preserve">CP-013</t>
  </si>
  <si>
    <t xml:space="preserve">Visibilidad del técnico</t>
  </si>
  <si>
    <t xml:space="preserve">CP-014</t>
  </si>
  <si>
    <t xml:space="preserve">Filtros y paginación</t>
  </si>
  <si>
    <t xml:space="preserve">CP-015</t>
  </si>
  <si>
    <t xml:space="preserve">Ticket ajeno</t>
  </si>
  <si>
    <t xml:space="preserve">CP-016</t>
  </si>
  <si>
    <t xml:space="preserve">RF-06</t>
  </si>
  <si>
    <t xml:space="preserve">HU-06</t>
  </si>
  <si>
    <t xml:space="preserve">Asignación por el administrador</t>
  </si>
  <si>
    <t xml:space="preserve">CP-017</t>
  </si>
  <si>
    <t xml:space="preserve">Autoasignación</t>
  </si>
  <si>
    <t xml:space="preserve">CP-018</t>
  </si>
  <si>
    <t xml:space="preserve">Conflicto de asignación simultánea</t>
  </si>
  <si>
    <t xml:space="preserve">CP-019</t>
  </si>
  <si>
    <t xml:space="preserve">Usuario sin permiso</t>
  </si>
  <si>
    <t xml:space="preserve">CP-042</t>
  </si>
  <si>
    <t xml:space="preserve">Cubierto por la prueba transversal de roles; conviene un CP específico.</t>
  </si>
  <si>
    <t xml:space="preserve">RF-07</t>
  </si>
  <si>
    <t xml:space="preserve">HU-07</t>
  </si>
  <si>
    <t xml:space="preserve">Comentario público</t>
  </si>
  <si>
    <t xml:space="preserve">CP-020</t>
  </si>
  <si>
    <t xml:space="preserve">Comentario interno</t>
  </si>
  <si>
    <t xml:space="preserve">CP-021</t>
  </si>
  <si>
    <t xml:space="preserve">SIN CASO DE PRUEBA: el CP-016 cubre el detalle, no el comentario.</t>
  </si>
  <si>
    <t xml:space="preserve">RF-08</t>
  </si>
  <si>
    <t xml:space="preserve">HU-08</t>
  </si>
  <si>
    <t xml:space="preserve">Transición válida</t>
  </si>
  <si>
    <t xml:space="preserve">CP-022</t>
  </si>
  <si>
    <t xml:space="preserve">Transición no permitida</t>
  </si>
  <si>
    <t xml:space="preserve">CP-023</t>
  </si>
  <si>
    <t xml:space="preserve">Estados finales</t>
  </si>
  <si>
    <t xml:space="preserve">CP-024</t>
  </si>
  <si>
    <t xml:space="preserve">Técnico no asignado</t>
  </si>
  <si>
    <t xml:space="preserve">CP-025</t>
  </si>
  <si>
    <t xml:space="preserve">El CP-025 habla de "rol no autorizado"; precisar el caso del técnico sin asignación.</t>
  </si>
  <si>
    <t xml:space="preserve">RF-13</t>
  </si>
  <si>
    <t xml:space="preserve">HU-09a</t>
  </si>
  <si>
    <t xml:space="preserve">Melisa</t>
  </si>
  <si>
    <t xml:space="preserve">Alta de activo</t>
  </si>
  <si>
    <t xml:space="preserve">CP-034</t>
  </si>
  <si>
    <t xml:space="preserve">Edición de activo</t>
  </si>
  <si>
    <t xml:space="preserve">CP-036</t>
  </si>
  <si>
    <t xml:space="preserve">Etiqueta duplicada</t>
  </si>
  <si>
    <t xml:space="preserve">CP-035</t>
  </si>
  <si>
    <t xml:space="preserve">El CP-035 dice "409 o 400"; el backlog exige 409.</t>
  </si>
  <si>
    <t xml:space="preserve">SIN CASO DE PRUEBA: pedir CP de validación del alta.</t>
  </si>
  <si>
    <t xml:space="preserve">Responsable inexistente</t>
  </si>
  <si>
    <t xml:space="preserve">SIN CASO DE PRUEBA.</t>
  </si>
  <si>
    <t xml:space="preserve">Sin permiso de escritura</t>
  </si>
  <si>
    <t xml:space="preserve">CP-039, CP-042</t>
  </si>
  <si>
    <t xml:space="preserve">El CP-039 cubre al TECNICO; el USUARIO queda en la prueba transversal.</t>
  </si>
  <si>
    <t xml:space="preserve">HU-09b</t>
  </si>
  <si>
    <t xml:space="preserve">Baja lógica</t>
  </si>
  <si>
    <t xml:space="preserve">CP-037</t>
  </si>
  <si>
    <t xml:space="preserve">El CP-037 dice "inactivo"; el estado es BAJA. Unificar el término.</t>
  </si>
  <si>
    <t xml:space="preserve">Baja por edición no permitida</t>
  </si>
  <si>
    <t xml:space="preserve">Cubierto por la prueba transversal de roles.</t>
  </si>
  <si>
    <t xml:space="preserve">HU-09c</t>
  </si>
  <si>
    <t xml:space="preserve">Búsqueda</t>
  </si>
  <si>
    <t xml:space="preserve">CP-038</t>
  </si>
  <si>
    <t xml:space="preserve">Listado sin bajas</t>
  </si>
  <si>
    <t xml:space="preserve">Técnico en modo lectura</t>
  </si>
  <si>
    <t xml:space="preserve">CP-039</t>
  </si>
  <si>
    <t xml:space="preserve">Sin resultados</t>
  </si>
  <si>
    <t xml:space="preserve">RF-10</t>
  </si>
  <si>
    <t xml:space="preserve">HU-10</t>
  </si>
  <si>
    <t xml:space="preserve">Fernando</t>
  </si>
  <si>
    <t xml:space="preserve">Cálculo al crear</t>
  </si>
  <si>
    <t xml:space="preserve">CP-026, CP-028</t>
  </si>
  <si>
    <t xml:space="preserve">CP-028 verifica que se use la tabla politica_sla.</t>
  </si>
  <si>
    <t xml:space="preserve">Recalculo por cambio de prioridad</t>
  </si>
  <si>
    <t xml:space="preserve">CP-027</t>
  </si>
  <si>
    <t xml:space="preserve">Zona horaria</t>
  </si>
  <si>
    <t xml:space="preserve">CP-033</t>
  </si>
  <si>
    <t xml:space="preserve">Prioridad sin política</t>
  </si>
  <si>
    <t xml:space="preserve">Cobertura parcial: el CP-011 valida prioridad inválida al crear el ticket.</t>
  </si>
  <si>
    <t xml:space="preserve">RF-11</t>
  </si>
  <si>
    <t xml:space="preserve">HU-11</t>
  </si>
  <si>
    <t xml:space="preserve">Ticket vencido</t>
  </si>
  <si>
    <t xml:space="preserve">CP-029, CP-032</t>
  </si>
  <si>
    <t xml:space="preserve">Ticket en riesgo</t>
  </si>
  <si>
    <t xml:space="preserve">CP-031</t>
  </si>
  <si>
    <t xml:space="preserve">Ticket terminado</t>
  </si>
  <si>
    <t xml:space="preserve">CP-030</t>
  </si>
  <si>
    <t xml:space="preserve">RF-09</t>
  </si>
  <si>
    <t xml:space="preserve">HU-12</t>
  </si>
  <si>
    <t xml:space="preserve">S</t>
  </si>
  <si>
    <t xml:space="preserve">Cierre por confirmación</t>
  </si>
  <si>
    <t xml:space="preserve">Fuera del Plan de pruebas v1 (parcial); se cubre para v1.0.0.</t>
  </si>
  <si>
    <t xml:space="preserve">Cierre automático</t>
  </si>
  <si>
    <t xml:space="preserve">Confirmación fuera de estado</t>
  </si>
  <si>
    <t xml:space="preserve">RF-12</t>
  </si>
  <si>
    <t xml:space="preserve">HU-13</t>
  </si>
  <si>
    <t xml:space="preserve">Cambio de estado</t>
  </si>
  <si>
    <t xml:space="preserve">Asignación o vencimiento</t>
  </si>
  <si>
    <t xml:space="preserve">Falla del servidor de correo</t>
  </si>
  <si>
    <t xml:space="preserve">RF-14</t>
  </si>
  <si>
    <t xml:space="preserve">HU-14</t>
  </si>
  <si>
    <t xml:space="preserve">Historial de fallas</t>
  </si>
  <si>
    <t xml:space="preserve">Activo sin tickets</t>
  </si>
  <si>
    <t xml:space="preserve">RF-15</t>
  </si>
  <si>
    <t xml:space="preserve">HU-15</t>
  </si>
  <si>
    <t xml:space="preserve">Yahir</t>
  </si>
  <si>
    <t xml:space="preserve">Indicadores por periodo</t>
  </si>
  <si>
    <t xml:space="preserve">RF-16</t>
  </si>
  <si>
    <t xml:space="preserve">HU-16</t>
  </si>
  <si>
    <t xml:space="preserve">Métricas disponibles</t>
  </si>
  <si>
    <t xml:space="preserve">Tablero</t>
  </si>
  <si>
    <t xml:space="preserve">Servicio no saludable</t>
  </si>
  <si>
    <t xml:space="preserve">RF-17</t>
  </si>
  <si>
    <t xml:space="preserve">HU-17</t>
  </si>
  <si>
    <t xml:space="preserve">C</t>
  </si>
  <si>
    <t xml:space="preserve">Pausa y reanudación</t>
  </si>
  <si>
    <t xml:space="preserve">Ticket que no está en espera</t>
  </si>
  <si>
    <t xml:space="preserve">RF-18</t>
  </si>
  <si>
    <t xml:space="preserve">HU-18</t>
  </si>
  <si>
    <t xml:space="preserve">Reapertura dentro del plazo</t>
  </si>
  <si>
    <t xml:space="preserve">Fuera del plazo</t>
  </si>
  <si>
    <t xml:space="preserve">Historias</t>
  </si>
  <si>
    <t xml:space="preserve">Parcial (v0.5.0)</t>
  </si>
  <si>
    <t xml:space="preserve">Escenarios</t>
  </si>
  <si>
    <t xml:space="preserve">Positivos</t>
  </si>
  <si>
    <t xml:space="preserve">Negativos</t>
  </si>
  <si>
    <t xml:space="preserve">Con CP</t>
  </si>
  <si>
    <t xml:space="preserve">Automatizados</t>
  </si>
  <si>
    <t xml:space="preserve">% con CP</t>
  </si>
  <si>
    <t xml:space="preserve">Alerta</t>
  </si>
  <si>
    <t xml:space="preserve">Sí</t>
  </si>
  <si>
    <t xml:space="preserve">No</t>
  </si>
  <si>
    <t xml:space="preserve">HU-09a, HU-09b, HU-09c</t>
  </si>
  <si>
    <t xml:space="preserve">Total</t>
  </si>
  <si>
    <t xml:space="preserve">Solo parcial (v0.5.0)</t>
  </si>
  <si>
    <t xml:space="preserve">CP</t>
  </si>
  <si>
    <t xml:space="preserve">Caso</t>
  </si>
  <si>
    <t xml:space="preserve">Resultado esperado</t>
  </si>
  <si>
    <t xml:space="preserve">Requisito no funcional (SRS sección 5)</t>
  </si>
  <si>
    <t xml:space="preserve">CP-041</t>
  </si>
  <si>
    <t xml:space="preserve">Cada endpoint de /api/v1 sin token</t>
  </si>
  <si>
    <t xml:space="preserve">401 (excepto registro y login)</t>
  </si>
  <si>
    <t xml:space="preserve">Seguridad: autorización por rol en cada endpoint</t>
  </si>
  <si>
    <t xml:space="preserve">Cada endpoint con un rol sin permiso</t>
  </si>
  <si>
    <t xml:space="preserve">403</t>
  </si>
  <si>
    <t xml:space="preserve">CP-043</t>
  </si>
  <si>
    <t xml:space="preserve">Respuestas de error</t>
  </si>
  <si>
    <t xml:space="preserve">Formato application/problem+json</t>
  </si>
  <si>
    <t xml:space="preserve">Compatibilidad: contrato de la API y convenciones de error</t>
  </si>
  <si>
    <t xml:space="preserve">CP-044</t>
  </si>
  <si>
    <t xml:space="preserve">Logs de login y registro</t>
  </si>
  <si>
    <t xml:space="preserve">Sin contraseñas ni tokens</t>
  </si>
  <si>
    <t xml:space="preserve">Operabilidad: logs sin datos sensibles</t>
  </si>
  <si>
    <t xml:space="preserve">CP-045</t>
  </si>
  <si>
    <t xml:space="preserve">Repositorio</t>
  </si>
  <si>
    <t xml:space="preserve">Sin secretos (escaneo en CI)</t>
  </si>
  <si>
    <t xml:space="preserve">Seguridad: sin secretos en el repositorio</t>
  </si>
  <si>
    <t xml:space="preserve">CP-046</t>
  </si>
  <si>
    <t xml:space="preserve">docker compose up en máquina limpia</t>
  </si>
  <si>
    <t xml:space="preserve">App, BD y Mailpit levantan</t>
  </si>
  <si>
    <t xml:space="preserve">Portabilidad</t>
  </si>
  <si>
    <t xml:space="preserve">CP-047</t>
  </si>
  <si>
    <t xml:space="preserve">GET /actuator/health</t>
  </si>
  <si>
    <t xml:space="preserve">UP</t>
  </si>
  <si>
    <t xml:space="preserve">Fiabilidad: healthcheck</t>
  </si>
  <si>
    <t xml:space="preserve">CP-048</t>
  </si>
  <si>
    <t xml:space="preserve">Migraciones Flyway en BD vacía</t>
  </si>
  <si>
    <t xml:space="preserve">Se aplican V1..Vn y Hibernate validate no reporta diferencias</t>
  </si>
  <si>
    <t xml:space="preserve">Fiabilidad / Mantenibilidad: migraciones versionadas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</si>
</sst>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1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1" t="s">
        <v>10</v>
      </c>
    </row>
    <row r="15" customFormat="false" ht="15" hidden="false" customHeight="false" outlineLevel="0" collapsed="false">
      <c r="A15" s="2" t="s">
        <v>11</v>
      </c>
    </row>
    <row r="16" customFormat="false" ht="23.8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46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30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31.5" hidden="false" customHeight="true" outlineLevel="0" collapsed="false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</row>
    <row r="2" customFormat="false" ht="15" hidden="false" customHeight="false" outlineLevel="0" collapsed="false">
      <c r="A2" s="4" t="s">
        <v>27</v>
      </c>
      <c r="B2" s="4" t="s">
        <v>28</v>
      </c>
      <c r="C2" s="4" t="s">
        <v>29</v>
      </c>
      <c r="D2" s="4" t="n">
        <v>1</v>
      </c>
      <c r="E2" s="4" t="s">
        <v>30</v>
      </c>
      <c r="F2" s="4" t="s">
        <v>31</v>
      </c>
      <c r="G2" s="4" t="s">
        <v>32</v>
      </c>
      <c r="H2" s="5" t="s">
        <v>33</v>
      </c>
      <c r="I2" s="5"/>
      <c r="J2" s="4" t="str">
        <f aca="false">IF(H2="","Sin caso de prueba",IF(I2="","Con caso, sin automatizar","Automatizada"))</f>
        <v>Con caso, sin automatizar</v>
      </c>
      <c r="K2" s="4"/>
    </row>
    <row r="3" customFormat="false" ht="23.85" hidden="false" customHeight="false" outlineLevel="0" collapsed="false">
      <c r="A3" s="4" t="s">
        <v>27</v>
      </c>
      <c r="B3" s="4" t="s">
        <v>28</v>
      </c>
      <c r="C3" s="4" t="s">
        <v>29</v>
      </c>
      <c r="D3" s="4" t="n">
        <v>1</v>
      </c>
      <c r="E3" s="4" t="s">
        <v>30</v>
      </c>
      <c r="F3" s="4" t="s">
        <v>34</v>
      </c>
      <c r="G3" s="4" t="s">
        <v>35</v>
      </c>
      <c r="H3" s="5" t="s">
        <v>36</v>
      </c>
      <c r="I3" s="5"/>
      <c r="J3" s="4" t="str">
        <f aca="false">IF(H3="","Sin caso de prueba",IF(I3="","Con caso, sin automatizar","Automatizada"))</f>
        <v>Con caso, sin automatizar</v>
      </c>
      <c r="K3" s="4" t="s">
        <v>37</v>
      </c>
    </row>
    <row r="4" customFormat="false" ht="15" hidden="false" customHeight="false" outlineLevel="0" collapsed="false">
      <c r="A4" s="4" t="s">
        <v>27</v>
      </c>
      <c r="B4" s="4" t="s">
        <v>28</v>
      </c>
      <c r="C4" s="4" t="s">
        <v>29</v>
      </c>
      <c r="D4" s="4" t="n">
        <v>1</v>
      </c>
      <c r="E4" s="4" t="s">
        <v>30</v>
      </c>
      <c r="F4" s="4" t="s">
        <v>38</v>
      </c>
      <c r="G4" s="4" t="s">
        <v>35</v>
      </c>
      <c r="H4" s="5" t="s">
        <v>39</v>
      </c>
      <c r="I4" s="5"/>
      <c r="J4" s="4" t="str">
        <f aca="false">IF(H4="","Sin caso de prueba",IF(I4="","Con caso, sin automatizar","Automatizada"))</f>
        <v>Con caso, sin automatizar</v>
      </c>
      <c r="K4" s="4"/>
    </row>
    <row r="5" customFormat="false" ht="15" hidden="false" customHeight="false" outlineLevel="0" collapsed="false">
      <c r="A5" s="4" t="s">
        <v>40</v>
      </c>
      <c r="B5" s="4" t="s">
        <v>41</v>
      </c>
      <c r="C5" s="4" t="s">
        <v>29</v>
      </c>
      <c r="D5" s="4" t="n">
        <v>1</v>
      </c>
      <c r="E5" s="4" t="s">
        <v>30</v>
      </c>
      <c r="F5" s="4" t="s">
        <v>42</v>
      </c>
      <c r="G5" s="4" t="s">
        <v>32</v>
      </c>
      <c r="H5" s="5" t="s">
        <v>43</v>
      </c>
      <c r="I5" s="5"/>
      <c r="J5" s="4" t="str">
        <f aca="false">IF(H5="","Sin caso de prueba",IF(I5="","Con caso, sin automatizar","Automatizada"))</f>
        <v>Con caso, sin automatizar</v>
      </c>
      <c r="K5" s="4"/>
    </row>
    <row r="6" customFormat="false" ht="15" hidden="false" customHeight="false" outlineLevel="0" collapsed="false">
      <c r="A6" s="4" t="s">
        <v>40</v>
      </c>
      <c r="B6" s="4" t="s">
        <v>41</v>
      </c>
      <c r="C6" s="4" t="s">
        <v>29</v>
      </c>
      <c r="D6" s="4" t="n">
        <v>1</v>
      </c>
      <c r="E6" s="4" t="s">
        <v>30</v>
      </c>
      <c r="F6" s="4" t="s">
        <v>44</v>
      </c>
      <c r="G6" s="4" t="s">
        <v>35</v>
      </c>
      <c r="H6" s="5" t="s">
        <v>45</v>
      </c>
      <c r="I6" s="5"/>
      <c r="J6" s="4" t="str">
        <f aca="false">IF(H6="","Sin caso de prueba",IF(I6="","Con caso, sin automatizar","Automatizada"))</f>
        <v>Con caso, sin automatizar</v>
      </c>
      <c r="K6" s="4"/>
    </row>
    <row r="7" customFormat="false" ht="15" hidden="false" customHeight="false" outlineLevel="0" collapsed="false">
      <c r="A7" s="4" t="s">
        <v>40</v>
      </c>
      <c r="B7" s="4" t="s">
        <v>41</v>
      </c>
      <c r="C7" s="4" t="s">
        <v>29</v>
      </c>
      <c r="D7" s="4" t="n">
        <v>1</v>
      </c>
      <c r="E7" s="4" t="s">
        <v>30</v>
      </c>
      <c r="F7" s="4" t="s">
        <v>46</v>
      </c>
      <c r="G7" s="4" t="s">
        <v>35</v>
      </c>
      <c r="H7" s="5" t="s">
        <v>47</v>
      </c>
      <c r="I7" s="5"/>
      <c r="J7" s="4" t="str">
        <f aca="false">IF(H7="","Sin caso de prueba",IF(I7="","Con caso, sin automatizar","Automatizada"))</f>
        <v>Con caso, sin automatizar</v>
      </c>
      <c r="K7" s="4"/>
    </row>
    <row r="8" customFormat="false" ht="15" hidden="false" customHeight="false" outlineLevel="0" collapsed="false">
      <c r="A8" s="4" t="s">
        <v>48</v>
      </c>
      <c r="B8" s="4" t="s">
        <v>49</v>
      </c>
      <c r="C8" s="4" t="s">
        <v>29</v>
      </c>
      <c r="D8" s="4" t="n">
        <v>1</v>
      </c>
      <c r="E8" s="4" t="s">
        <v>30</v>
      </c>
      <c r="F8" s="4" t="s">
        <v>50</v>
      </c>
      <c r="G8" s="4" t="s">
        <v>32</v>
      </c>
      <c r="H8" s="5" t="s">
        <v>51</v>
      </c>
      <c r="I8" s="5"/>
      <c r="J8" s="4" t="str">
        <f aca="false">IF(H8="","Sin caso de prueba",IF(I8="","Con caso, sin automatizar","Automatizada"))</f>
        <v>Con caso, sin automatizar</v>
      </c>
      <c r="K8" s="4"/>
    </row>
    <row r="9" customFormat="false" ht="15" hidden="false" customHeight="false" outlineLevel="0" collapsed="false">
      <c r="A9" s="4" t="s">
        <v>48</v>
      </c>
      <c r="B9" s="4" t="s">
        <v>49</v>
      </c>
      <c r="C9" s="4" t="s">
        <v>29</v>
      </c>
      <c r="D9" s="4" t="n">
        <v>1</v>
      </c>
      <c r="E9" s="4" t="s">
        <v>30</v>
      </c>
      <c r="F9" s="4" t="s">
        <v>52</v>
      </c>
      <c r="G9" s="4" t="s">
        <v>32</v>
      </c>
      <c r="H9" s="5" t="s">
        <v>53</v>
      </c>
      <c r="I9" s="5"/>
      <c r="J9" s="4" t="str">
        <f aca="false">IF(H9="","Sin caso de prueba",IF(I9="","Con caso, sin automatizar","Automatizada"))</f>
        <v>Con caso, sin automatizar</v>
      </c>
      <c r="K9" s="4"/>
    </row>
    <row r="10" customFormat="false" ht="15" hidden="false" customHeight="false" outlineLevel="0" collapsed="false">
      <c r="A10" s="4" t="s">
        <v>48</v>
      </c>
      <c r="B10" s="4" t="s">
        <v>49</v>
      </c>
      <c r="C10" s="4" t="s">
        <v>29</v>
      </c>
      <c r="D10" s="4" t="n">
        <v>1</v>
      </c>
      <c r="E10" s="4" t="s">
        <v>30</v>
      </c>
      <c r="F10" s="4" t="s">
        <v>54</v>
      </c>
      <c r="G10" s="4" t="s">
        <v>35</v>
      </c>
      <c r="H10" s="5" t="s">
        <v>55</v>
      </c>
      <c r="I10" s="5"/>
      <c r="J10" s="4" t="str">
        <f aca="false">IF(H10="","Sin caso de prueba",IF(I10="","Con caso, sin automatizar","Automatizada"))</f>
        <v>Con caso, sin automatizar</v>
      </c>
      <c r="K10" s="4"/>
    </row>
    <row r="11" customFormat="false" ht="15" hidden="false" customHeight="false" outlineLevel="0" collapsed="false">
      <c r="A11" s="4" t="s">
        <v>56</v>
      </c>
      <c r="B11" s="4" t="s">
        <v>57</v>
      </c>
      <c r="C11" s="4" t="s">
        <v>29</v>
      </c>
      <c r="D11" s="4" t="n">
        <v>1</v>
      </c>
      <c r="E11" s="4" t="s">
        <v>58</v>
      </c>
      <c r="F11" s="4" t="s">
        <v>59</v>
      </c>
      <c r="G11" s="4" t="s">
        <v>32</v>
      </c>
      <c r="H11" s="5" t="s">
        <v>60</v>
      </c>
      <c r="I11" s="5"/>
      <c r="J11" s="4" t="str">
        <f aca="false">IF(H11="","Sin caso de prueba",IF(I11="","Con caso, sin automatizar","Automatizada"))</f>
        <v>Con caso, sin automatizar</v>
      </c>
      <c r="K11" s="4" t="s">
        <v>61</v>
      </c>
    </row>
    <row r="12" customFormat="false" ht="15" hidden="false" customHeight="false" outlineLevel="0" collapsed="false">
      <c r="A12" s="4" t="s">
        <v>56</v>
      </c>
      <c r="B12" s="4" t="s">
        <v>57</v>
      </c>
      <c r="C12" s="4" t="s">
        <v>29</v>
      </c>
      <c r="D12" s="4" t="n">
        <v>1</v>
      </c>
      <c r="E12" s="4" t="s">
        <v>58</v>
      </c>
      <c r="F12" s="4" t="s">
        <v>62</v>
      </c>
      <c r="G12" s="4" t="s">
        <v>32</v>
      </c>
      <c r="H12" s="5" t="s">
        <v>63</v>
      </c>
      <c r="I12" s="5"/>
      <c r="J12" s="4" t="str">
        <f aca="false">IF(H12="","Sin caso de prueba",IF(I12="","Con caso, sin automatizar","Automatizada"))</f>
        <v>Con caso, sin automatizar</v>
      </c>
      <c r="K12" s="4"/>
    </row>
    <row r="13" customFormat="false" ht="15" hidden="false" customHeight="false" outlineLevel="0" collapsed="false">
      <c r="A13" s="4" t="s">
        <v>56</v>
      </c>
      <c r="B13" s="4" t="s">
        <v>57</v>
      </c>
      <c r="C13" s="4" t="s">
        <v>29</v>
      </c>
      <c r="D13" s="4" t="n">
        <v>1</v>
      </c>
      <c r="E13" s="4" t="s">
        <v>58</v>
      </c>
      <c r="F13" s="4" t="s">
        <v>64</v>
      </c>
      <c r="G13" s="4" t="s">
        <v>35</v>
      </c>
      <c r="H13" s="5" t="s">
        <v>65</v>
      </c>
      <c r="I13" s="5"/>
      <c r="J13" s="4" t="str">
        <f aca="false">IF(H13="","Sin caso de prueba",IF(I13="","Con caso, sin automatizar","Automatizada"))</f>
        <v>Con caso, sin automatizar</v>
      </c>
      <c r="K13" s="4"/>
    </row>
    <row r="14" customFormat="false" ht="15" hidden="false" customHeight="false" outlineLevel="0" collapsed="false">
      <c r="A14" s="4" t="s">
        <v>56</v>
      </c>
      <c r="B14" s="4" t="s">
        <v>57</v>
      </c>
      <c r="C14" s="4" t="s">
        <v>29</v>
      </c>
      <c r="D14" s="4" t="n">
        <v>1</v>
      </c>
      <c r="E14" s="4" t="s">
        <v>58</v>
      </c>
      <c r="F14" s="4" t="s">
        <v>66</v>
      </c>
      <c r="G14" s="4" t="s">
        <v>35</v>
      </c>
      <c r="H14" s="5"/>
      <c r="I14" s="5"/>
      <c r="J14" s="4" t="str">
        <f aca="false">IF(H14="","Sin caso de prueba",IF(I14="","Con caso, sin automatizar","Automatizada"))</f>
        <v>Sin caso de prueba</v>
      </c>
      <c r="K14" s="4" t="s">
        <v>67</v>
      </c>
    </row>
    <row r="15" customFormat="false" ht="23.85" hidden="false" customHeight="false" outlineLevel="0" collapsed="false">
      <c r="A15" s="4" t="s">
        <v>56</v>
      </c>
      <c r="B15" s="4" t="s">
        <v>57</v>
      </c>
      <c r="C15" s="4" t="s">
        <v>29</v>
      </c>
      <c r="D15" s="4" t="n">
        <v>1</v>
      </c>
      <c r="E15" s="4" t="s">
        <v>58</v>
      </c>
      <c r="F15" s="4" t="s">
        <v>68</v>
      </c>
      <c r="G15" s="4" t="s">
        <v>35</v>
      </c>
      <c r="H15" s="5"/>
      <c r="I15" s="5"/>
      <c r="J15" s="4" t="str">
        <f aca="false">IF(H15="","Sin caso de prueba",IF(I15="","Con caso, sin automatizar","Automatizada"))</f>
        <v>Sin caso de prueba</v>
      </c>
      <c r="K15" s="4" t="s">
        <v>69</v>
      </c>
    </row>
    <row r="16" customFormat="false" ht="15" hidden="false" customHeight="false" outlineLevel="0" collapsed="false">
      <c r="A16" s="4" t="s">
        <v>70</v>
      </c>
      <c r="B16" s="4" t="s">
        <v>71</v>
      </c>
      <c r="C16" s="4" t="s">
        <v>29</v>
      </c>
      <c r="D16" s="4" t="n">
        <v>1</v>
      </c>
      <c r="E16" s="4" t="s">
        <v>58</v>
      </c>
      <c r="F16" s="4" t="s">
        <v>72</v>
      </c>
      <c r="G16" s="4" t="s">
        <v>32</v>
      </c>
      <c r="H16" s="5" t="s">
        <v>73</v>
      </c>
      <c r="I16" s="5"/>
      <c r="J16" s="4" t="str">
        <f aca="false">IF(H16="","Sin caso de prueba",IF(I16="","Con caso, sin automatizar","Automatizada"))</f>
        <v>Con caso, sin automatizar</v>
      </c>
      <c r="K16" s="4"/>
    </row>
    <row r="17" customFormat="false" ht="15" hidden="false" customHeight="false" outlineLevel="0" collapsed="false">
      <c r="A17" s="4" t="s">
        <v>70</v>
      </c>
      <c r="B17" s="4" t="s">
        <v>71</v>
      </c>
      <c r="C17" s="4" t="s">
        <v>29</v>
      </c>
      <c r="D17" s="4" t="n">
        <v>1</v>
      </c>
      <c r="E17" s="4" t="s">
        <v>58</v>
      </c>
      <c r="F17" s="4" t="s">
        <v>74</v>
      </c>
      <c r="G17" s="4" t="s">
        <v>32</v>
      </c>
      <c r="H17" s="5" t="s">
        <v>75</v>
      </c>
      <c r="I17" s="5"/>
      <c r="J17" s="4" t="str">
        <f aca="false">IF(H17="","Sin caso de prueba",IF(I17="","Con caso, sin automatizar","Automatizada"))</f>
        <v>Con caso, sin automatizar</v>
      </c>
      <c r="K17" s="4"/>
    </row>
    <row r="18" customFormat="false" ht="15" hidden="false" customHeight="false" outlineLevel="0" collapsed="false">
      <c r="A18" s="4" t="s">
        <v>70</v>
      </c>
      <c r="B18" s="4" t="s">
        <v>71</v>
      </c>
      <c r="C18" s="4" t="s">
        <v>29</v>
      </c>
      <c r="D18" s="4" t="n">
        <v>1</v>
      </c>
      <c r="E18" s="4" t="s">
        <v>58</v>
      </c>
      <c r="F18" s="4" t="s">
        <v>76</v>
      </c>
      <c r="G18" s="4" t="s">
        <v>32</v>
      </c>
      <c r="H18" s="5" t="s">
        <v>77</v>
      </c>
      <c r="I18" s="5"/>
      <c r="J18" s="4" t="str">
        <f aca="false">IF(H18="","Sin caso de prueba",IF(I18="","Con caso, sin automatizar","Automatizada"))</f>
        <v>Con caso, sin automatizar</v>
      </c>
      <c r="K18" s="4"/>
    </row>
    <row r="19" customFormat="false" ht="15" hidden="false" customHeight="false" outlineLevel="0" collapsed="false">
      <c r="A19" s="4" t="s">
        <v>70</v>
      </c>
      <c r="B19" s="4" t="s">
        <v>71</v>
      </c>
      <c r="C19" s="4" t="s">
        <v>29</v>
      </c>
      <c r="D19" s="4" t="n">
        <v>1</v>
      </c>
      <c r="E19" s="4" t="s">
        <v>58</v>
      </c>
      <c r="F19" s="4" t="s">
        <v>78</v>
      </c>
      <c r="G19" s="4" t="s">
        <v>35</v>
      </c>
      <c r="H19" s="5" t="s">
        <v>79</v>
      </c>
      <c r="I19" s="5"/>
      <c r="J19" s="4" t="str">
        <f aca="false">IF(H19="","Sin caso de prueba",IF(I19="","Con caso, sin automatizar","Automatizada"))</f>
        <v>Con caso, sin automatizar</v>
      </c>
      <c r="K19" s="4"/>
    </row>
    <row r="20" customFormat="false" ht="15" hidden="false" customHeight="false" outlineLevel="0" collapsed="false">
      <c r="A20" s="4" t="s">
        <v>80</v>
      </c>
      <c r="B20" s="4" t="s">
        <v>81</v>
      </c>
      <c r="C20" s="4" t="s">
        <v>29</v>
      </c>
      <c r="D20" s="4" t="n">
        <v>2</v>
      </c>
      <c r="E20" s="4" t="s">
        <v>58</v>
      </c>
      <c r="F20" s="4" t="s">
        <v>82</v>
      </c>
      <c r="G20" s="4" t="s">
        <v>32</v>
      </c>
      <c r="H20" s="5" t="s">
        <v>83</v>
      </c>
      <c r="I20" s="5"/>
      <c r="J20" s="4" t="str">
        <f aca="false">IF(H20="","Sin caso de prueba",IF(I20="","Con caso, sin automatizar","Automatizada"))</f>
        <v>Con caso, sin automatizar</v>
      </c>
      <c r="K20" s="4"/>
    </row>
    <row r="21" customFormat="false" ht="15" hidden="false" customHeight="false" outlineLevel="0" collapsed="false">
      <c r="A21" s="4" t="s">
        <v>80</v>
      </c>
      <c r="B21" s="4" t="s">
        <v>81</v>
      </c>
      <c r="C21" s="4" t="s">
        <v>29</v>
      </c>
      <c r="D21" s="4" t="n">
        <v>2</v>
      </c>
      <c r="E21" s="4" t="s">
        <v>58</v>
      </c>
      <c r="F21" s="4" t="s">
        <v>84</v>
      </c>
      <c r="G21" s="4" t="s">
        <v>32</v>
      </c>
      <c r="H21" s="5" t="s">
        <v>85</v>
      </c>
      <c r="I21" s="5"/>
      <c r="J21" s="4" t="str">
        <f aca="false">IF(H21="","Sin caso de prueba",IF(I21="","Con caso, sin automatizar","Automatizada"))</f>
        <v>Con caso, sin automatizar</v>
      </c>
      <c r="K21" s="4"/>
    </row>
    <row r="22" customFormat="false" ht="15" hidden="false" customHeight="false" outlineLevel="0" collapsed="false">
      <c r="A22" s="4" t="s">
        <v>80</v>
      </c>
      <c r="B22" s="4" t="s">
        <v>81</v>
      </c>
      <c r="C22" s="4" t="s">
        <v>29</v>
      </c>
      <c r="D22" s="4" t="n">
        <v>2</v>
      </c>
      <c r="E22" s="4" t="s">
        <v>58</v>
      </c>
      <c r="F22" s="4" t="s">
        <v>86</v>
      </c>
      <c r="G22" s="4" t="s">
        <v>35</v>
      </c>
      <c r="H22" s="5" t="s">
        <v>87</v>
      </c>
      <c r="I22" s="5"/>
      <c r="J22" s="4" t="str">
        <f aca="false">IF(H22="","Sin caso de prueba",IF(I22="","Con caso, sin automatizar","Automatizada"))</f>
        <v>Con caso, sin automatizar</v>
      </c>
      <c r="K22" s="4"/>
    </row>
    <row r="23" customFormat="false" ht="15" hidden="false" customHeight="false" outlineLevel="0" collapsed="false">
      <c r="A23" s="4" t="s">
        <v>80</v>
      </c>
      <c r="B23" s="4" t="s">
        <v>81</v>
      </c>
      <c r="C23" s="4" t="s">
        <v>29</v>
      </c>
      <c r="D23" s="4" t="n">
        <v>2</v>
      </c>
      <c r="E23" s="4" t="s">
        <v>58</v>
      </c>
      <c r="F23" s="4" t="s">
        <v>88</v>
      </c>
      <c r="G23" s="4" t="s">
        <v>35</v>
      </c>
      <c r="H23" s="5" t="s">
        <v>89</v>
      </c>
      <c r="I23" s="5"/>
      <c r="J23" s="4" t="str">
        <f aca="false">IF(H23="","Sin caso de prueba",IF(I23="","Con caso, sin automatizar","Automatizada"))</f>
        <v>Con caso, sin automatizar</v>
      </c>
      <c r="K23" s="4" t="s">
        <v>90</v>
      </c>
    </row>
    <row r="24" customFormat="false" ht="15" hidden="false" customHeight="false" outlineLevel="0" collapsed="false">
      <c r="A24" s="4" t="s">
        <v>91</v>
      </c>
      <c r="B24" s="4" t="s">
        <v>92</v>
      </c>
      <c r="C24" s="4" t="s">
        <v>29</v>
      </c>
      <c r="D24" s="4" t="n">
        <v>2</v>
      </c>
      <c r="E24" s="4" t="s">
        <v>58</v>
      </c>
      <c r="F24" s="4" t="s">
        <v>93</v>
      </c>
      <c r="G24" s="4" t="s">
        <v>32</v>
      </c>
      <c r="H24" s="5" t="s">
        <v>94</v>
      </c>
      <c r="I24" s="5"/>
      <c r="J24" s="4" t="str">
        <f aca="false">IF(H24="","Sin caso de prueba",IF(I24="","Con caso, sin automatizar","Automatizada"))</f>
        <v>Con caso, sin automatizar</v>
      </c>
      <c r="K24" s="4"/>
    </row>
    <row r="25" customFormat="false" ht="15" hidden="false" customHeight="false" outlineLevel="0" collapsed="false">
      <c r="A25" s="4" t="s">
        <v>91</v>
      </c>
      <c r="B25" s="4" t="s">
        <v>92</v>
      </c>
      <c r="C25" s="4" t="s">
        <v>29</v>
      </c>
      <c r="D25" s="4" t="n">
        <v>2</v>
      </c>
      <c r="E25" s="4" t="s">
        <v>58</v>
      </c>
      <c r="F25" s="4" t="s">
        <v>95</v>
      </c>
      <c r="G25" s="4" t="s">
        <v>32</v>
      </c>
      <c r="H25" s="5" t="s">
        <v>96</v>
      </c>
      <c r="I25" s="5"/>
      <c r="J25" s="4" t="str">
        <f aca="false">IF(H25="","Sin caso de prueba",IF(I25="","Con caso, sin automatizar","Automatizada"))</f>
        <v>Con caso, sin automatizar</v>
      </c>
      <c r="K25" s="4"/>
    </row>
    <row r="26" customFormat="false" ht="15" hidden="false" customHeight="false" outlineLevel="0" collapsed="false">
      <c r="A26" s="4" t="s">
        <v>91</v>
      </c>
      <c r="B26" s="4" t="s">
        <v>92</v>
      </c>
      <c r="C26" s="4" t="s">
        <v>29</v>
      </c>
      <c r="D26" s="4" t="n">
        <v>2</v>
      </c>
      <c r="E26" s="4" t="s">
        <v>58</v>
      </c>
      <c r="F26" s="4" t="s">
        <v>78</v>
      </c>
      <c r="G26" s="4" t="s">
        <v>35</v>
      </c>
      <c r="H26" s="5"/>
      <c r="I26" s="5"/>
      <c r="J26" s="4" t="str">
        <f aca="false">IF(H26="","Sin caso de prueba",IF(I26="","Con caso, sin automatizar","Automatizada"))</f>
        <v>Sin caso de prueba</v>
      </c>
      <c r="K26" s="4" t="s">
        <v>97</v>
      </c>
    </row>
    <row r="27" customFormat="false" ht="15" hidden="false" customHeight="false" outlineLevel="0" collapsed="false">
      <c r="A27" s="4" t="s">
        <v>98</v>
      </c>
      <c r="B27" s="4" t="s">
        <v>99</v>
      </c>
      <c r="C27" s="4" t="s">
        <v>29</v>
      </c>
      <c r="D27" s="4" t="n">
        <v>2</v>
      </c>
      <c r="E27" s="4" t="s">
        <v>58</v>
      </c>
      <c r="F27" s="4" t="s">
        <v>100</v>
      </c>
      <c r="G27" s="4" t="s">
        <v>32</v>
      </c>
      <c r="H27" s="5" t="s">
        <v>101</v>
      </c>
      <c r="I27" s="5"/>
      <c r="J27" s="4" t="str">
        <f aca="false">IF(H27="","Sin caso de prueba",IF(I27="","Con caso, sin automatizar","Automatizada"))</f>
        <v>Con caso, sin automatizar</v>
      </c>
      <c r="K27" s="4"/>
    </row>
    <row r="28" customFormat="false" ht="15" hidden="false" customHeight="false" outlineLevel="0" collapsed="false">
      <c r="A28" s="4" t="s">
        <v>98</v>
      </c>
      <c r="B28" s="4" t="s">
        <v>99</v>
      </c>
      <c r="C28" s="4" t="s">
        <v>29</v>
      </c>
      <c r="D28" s="4" t="n">
        <v>2</v>
      </c>
      <c r="E28" s="4" t="s">
        <v>58</v>
      </c>
      <c r="F28" s="4" t="s">
        <v>102</v>
      </c>
      <c r="G28" s="4" t="s">
        <v>35</v>
      </c>
      <c r="H28" s="5" t="s">
        <v>103</v>
      </c>
      <c r="I28" s="5"/>
      <c r="J28" s="4" t="str">
        <f aca="false">IF(H28="","Sin caso de prueba",IF(I28="","Con caso, sin automatizar","Automatizada"))</f>
        <v>Con caso, sin automatizar</v>
      </c>
      <c r="K28" s="4"/>
    </row>
    <row r="29" customFormat="false" ht="15" hidden="false" customHeight="false" outlineLevel="0" collapsed="false">
      <c r="A29" s="4" t="s">
        <v>98</v>
      </c>
      <c r="B29" s="4" t="s">
        <v>99</v>
      </c>
      <c r="C29" s="4" t="s">
        <v>29</v>
      </c>
      <c r="D29" s="4" t="n">
        <v>2</v>
      </c>
      <c r="E29" s="4" t="s">
        <v>58</v>
      </c>
      <c r="F29" s="4" t="s">
        <v>104</v>
      </c>
      <c r="G29" s="4" t="s">
        <v>35</v>
      </c>
      <c r="H29" s="5" t="s">
        <v>105</v>
      </c>
      <c r="I29" s="5"/>
      <c r="J29" s="4" t="str">
        <f aca="false">IF(H29="","Sin caso de prueba",IF(I29="","Con caso, sin automatizar","Automatizada"))</f>
        <v>Con caso, sin automatizar</v>
      </c>
      <c r="K29" s="4"/>
    </row>
    <row r="30" customFormat="false" ht="23.85" hidden="false" customHeight="false" outlineLevel="0" collapsed="false">
      <c r="A30" s="4" t="s">
        <v>98</v>
      </c>
      <c r="B30" s="4" t="s">
        <v>99</v>
      </c>
      <c r="C30" s="4" t="s">
        <v>29</v>
      </c>
      <c r="D30" s="4" t="n">
        <v>2</v>
      </c>
      <c r="E30" s="4" t="s">
        <v>58</v>
      </c>
      <c r="F30" s="4" t="s">
        <v>106</v>
      </c>
      <c r="G30" s="4" t="s">
        <v>35</v>
      </c>
      <c r="H30" s="5" t="s">
        <v>107</v>
      </c>
      <c r="I30" s="5"/>
      <c r="J30" s="4" t="str">
        <f aca="false">IF(H30="","Sin caso de prueba",IF(I30="","Con caso, sin automatizar","Automatizada"))</f>
        <v>Con caso, sin automatizar</v>
      </c>
      <c r="K30" s="4" t="s">
        <v>108</v>
      </c>
    </row>
    <row r="31" customFormat="false" ht="15" hidden="false" customHeight="false" outlineLevel="0" collapsed="false">
      <c r="A31" s="4" t="s">
        <v>109</v>
      </c>
      <c r="B31" s="4" t="s">
        <v>110</v>
      </c>
      <c r="C31" s="4" t="s">
        <v>29</v>
      </c>
      <c r="D31" s="4" t="n">
        <v>2</v>
      </c>
      <c r="E31" s="4" t="s">
        <v>111</v>
      </c>
      <c r="F31" s="4" t="s">
        <v>112</v>
      </c>
      <c r="G31" s="4" t="s">
        <v>32</v>
      </c>
      <c r="H31" s="5" t="s">
        <v>113</v>
      </c>
      <c r="I31" s="5"/>
      <c r="J31" s="4" t="str">
        <f aca="false">IF(H31="","Sin caso de prueba",IF(I31="","Con caso, sin automatizar","Automatizada"))</f>
        <v>Con caso, sin automatizar</v>
      </c>
      <c r="K31" s="4"/>
    </row>
    <row r="32" customFormat="false" ht="15" hidden="false" customHeight="false" outlineLevel="0" collapsed="false">
      <c r="A32" s="4" t="s">
        <v>109</v>
      </c>
      <c r="B32" s="4" t="s">
        <v>110</v>
      </c>
      <c r="C32" s="4" t="s">
        <v>29</v>
      </c>
      <c r="D32" s="4" t="n">
        <v>2</v>
      </c>
      <c r="E32" s="4" t="s">
        <v>111</v>
      </c>
      <c r="F32" s="4" t="s">
        <v>114</v>
      </c>
      <c r="G32" s="4" t="s">
        <v>32</v>
      </c>
      <c r="H32" s="5" t="s">
        <v>115</v>
      </c>
      <c r="I32" s="5"/>
      <c r="J32" s="4" t="str">
        <f aca="false">IF(H32="","Sin caso de prueba",IF(I32="","Con caso, sin automatizar","Automatizada"))</f>
        <v>Con caso, sin automatizar</v>
      </c>
      <c r="K32" s="4"/>
    </row>
    <row r="33" customFormat="false" ht="15" hidden="false" customHeight="false" outlineLevel="0" collapsed="false">
      <c r="A33" s="4" t="s">
        <v>109</v>
      </c>
      <c r="B33" s="4" t="s">
        <v>110</v>
      </c>
      <c r="C33" s="4" t="s">
        <v>29</v>
      </c>
      <c r="D33" s="4" t="n">
        <v>2</v>
      </c>
      <c r="E33" s="4" t="s">
        <v>111</v>
      </c>
      <c r="F33" s="4" t="s">
        <v>116</v>
      </c>
      <c r="G33" s="4" t="s">
        <v>35</v>
      </c>
      <c r="H33" s="5" t="s">
        <v>117</v>
      </c>
      <c r="I33" s="5"/>
      <c r="J33" s="4" t="str">
        <f aca="false">IF(H33="","Sin caso de prueba",IF(I33="","Con caso, sin automatizar","Automatizada"))</f>
        <v>Con caso, sin automatizar</v>
      </c>
      <c r="K33" s="4" t="s">
        <v>118</v>
      </c>
    </row>
    <row r="34" customFormat="false" ht="15" hidden="false" customHeight="false" outlineLevel="0" collapsed="false">
      <c r="A34" s="4" t="s">
        <v>109</v>
      </c>
      <c r="B34" s="4" t="s">
        <v>110</v>
      </c>
      <c r="C34" s="4" t="s">
        <v>29</v>
      </c>
      <c r="D34" s="4" t="n">
        <v>2</v>
      </c>
      <c r="E34" s="4" t="s">
        <v>111</v>
      </c>
      <c r="F34" s="4" t="s">
        <v>38</v>
      </c>
      <c r="G34" s="4" t="s">
        <v>35</v>
      </c>
      <c r="H34" s="5"/>
      <c r="I34" s="5"/>
      <c r="J34" s="4" t="str">
        <f aca="false">IF(H34="","Sin caso de prueba",IF(I34="","Con caso, sin automatizar","Automatizada"))</f>
        <v>Sin caso de prueba</v>
      </c>
      <c r="K34" s="4" t="s">
        <v>119</v>
      </c>
    </row>
    <row r="35" customFormat="false" ht="15" hidden="false" customHeight="false" outlineLevel="0" collapsed="false">
      <c r="A35" s="4" t="s">
        <v>109</v>
      </c>
      <c r="B35" s="4" t="s">
        <v>110</v>
      </c>
      <c r="C35" s="4" t="s">
        <v>29</v>
      </c>
      <c r="D35" s="4" t="n">
        <v>2</v>
      </c>
      <c r="E35" s="4" t="s">
        <v>111</v>
      </c>
      <c r="F35" s="4" t="s">
        <v>120</v>
      </c>
      <c r="G35" s="4" t="s">
        <v>35</v>
      </c>
      <c r="H35" s="5"/>
      <c r="I35" s="5"/>
      <c r="J35" s="4" t="str">
        <f aca="false">IF(H35="","Sin caso de prueba",IF(I35="","Con caso, sin automatizar","Automatizada"))</f>
        <v>Sin caso de prueba</v>
      </c>
      <c r="K35" s="4" t="s">
        <v>121</v>
      </c>
    </row>
    <row r="36" customFormat="false" ht="23.85" hidden="false" customHeight="false" outlineLevel="0" collapsed="false">
      <c r="A36" s="4" t="s">
        <v>109</v>
      </c>
      <c r="B36" s="4" t="s">
        <v>110</v>
      </c>
      <c r="C36" s="4" t="s">
        <v>29</v>
      </c>
      <c r="D36" s="4" t="n">
        <v>2</v>
      </c>
      <c r="E36" s="4" t="s">
        <v>111</v>
      </c>
      <c r="F36" s="4" t="s">
        <v>122</v>
      </c>
      <c r="G36" s="4" t="s">
        <v>35</v>
      </c>
      <c r="H36" s="5" t="s">
        <v>123</v>
      </c>
      <c r="I36" s="5"/>
      <c r="J36" s="4" t="str">
        <f aca="false">IF(H36="","Sin caso de prueba",IF(I36="","Con caso, sin automatizar","Automatizada"))</f>
        <v>Con caso, sin automatizar</v>
      </c>
      <c r="K36" s="4" t="s">
        <v>124</v>
      </c>
    </row>
    <row r="37" customFormat="false" ht="15" hidden="false" customHeight="false" outlineLevel="0" collapsed="false">
      <c r="A37" s="4" t="s">
        <v>109</v>
      </c>
      <c r="B37" s="4" t="s">
        <v>125</v>
      </c>
      <c r="C37" s="4" t="s">
        <v>29</v>
      </c>
      <c r="D37" s="4" t="n">
        <v>2</v>
      </c>
      <c r="E37" s="4" t="s">
        <v>111</v>
      </c>
      <c r="F37" s="4" t="s">
        <v>126</v>
      </c>
      <c r="G37" s="4" t="s">
        <v>32</v>
      </c>
      <c r="H37" s="5" t="s">
        <v>127</v>
      </c>
      <c r="I37" s="5"/>
      <c r="J37" s="4" t="str">
        <f aca="false">IF(H37="","Sin caso de prueba",IF(I37="","Con caso, sin automatizar","Automatizada"))</f>
        <v>Con caso, sin automatizar</v>
      </c>
      <c r="K37" s="4" t="s">
        <v>128</v>
      </c>
    </row>
    <row r="38" customFormat="false" ht="15" hidden="false" customHeight="false" outlineLevel="0" collapsed="false">
      <c r="A38" s="4" t="s">
        <v>109</v>
      </c>
      <c r="B38" s="4" t="s">
        <v>125</v>
      </c>
      <c r="C38" s="4" t="s">
        <v>29</v>
      </c>
      <c r="D38" s="4" t="n">
        <v>2</v>
      </c>
      <c r="E38" s="4" t="s">
        <v>111</v>
      </c>
      <c r="F38" s="4" t="s">
        <v>129</v>
      </c>
      <c r="G38" s="4" t="s">
        <v>35</v>
      </c>
      <c r="H38" s="5"/>
      <c r="I38" s="5"/>
      <c r="J38" s="4" t="str">
        <f aca="false">IF(H38="","Sin caso de prueba",IF(I38="","Con caso, sin automatizar","Automatizada"))</f>
        <v>Sin caso de prueba</v>
      </c>
      <c r="K38" s="4" t="s">
        <v>121</v>
      </c>
    </row>
    <row r="39" customFormat="false" ht="15" hidden="false" customHeight="false" outlineLevel="0" collapsed="false">
      <c r="A39" s="4" t="s">
        <v>109</v>
      </c>
      <c r="B39" s="4" t="s">
        <v>125</v>
      </c>
      <c r="C39" s="4" t="s">
        <v>29</v>
      </c>
      <c r="D39" s="4" t="n">
        <v>2</v>
      </c>
      <c r="E39" s="4" t="s">
        <v>111</v>
      </c>
      <c r="F39" s="4" t="s">
        <v>66</v>
      </c>
      <c r="G39" s="4" t="s">
        <v>35</v>
      </c>
      <c r="H39" s="5"/>
      <c r="I39" s="5"/>
      <c r="J39" s="4" t="str">
        <f aca="false">IF(H39="","Sin caso de prueba",IF(I39="","Con caso, sin automatizar","Automatizada"))</f>
        <v>Sin caso de prueba</v>
      </c>
      <c r="K39" s="4" t="s">
        <v>121</v>
      </c>
    </row>
    <row r="40" customFormat="false" ht="15" hidden="false" customHeight="false" outlineLevel="0" collapsed="false">
      <c r="A40" s="4" t="s">
        <v>109</v>
      </c>
      <c r="B40" s="4" t="s">
        <v>125</v>
      </c>
      <c r="C40" s="4" t="s">
        <v>29</v>
      </c>
      <c r="D40" s="4" t="n">
        <v>2</v>
      </c>
      <c r="E40" s="4" t="s">
        <v>111</v>
      </c>
      <c r="F40" s="4" t="s">
        <v>54</v>
      </c>
      <c r="G40" s="4" t="s">
        <v>35</v>
      </c>
      <c r="H40" s="5" t="s">
        <v>89</v>
      </c>
      <c r="I40" s="5"/>
      <c r="J40" s="4" t="str">
        <f aca="false">IF(H40="","Sin caso de prueba",IF(I40="","Con caso, sin automatizar","Automatizada"))</f>
        <v>Con caso, sin automatizar</v>
      </c>
      <c r="K40" s="4" t="s">
        <v>130</v>
      </c>
    </row>
    <row r="41" customFormat="false" ht="15" hidden="false" customHeight="false" outlineLevel="0" collapsed="false">
      <c r="A41" s="4" t="s">
        <v>109</v>
      </c>
      <c r="B41" s="4" t="s">
        <v>131</v>
      </c>
      <c r="C41" s="4" t="s">
        <v>29</v>
      </c>
      <c r="D41" s="4" t="n">
        <v>2</v>
      </c>
      <c r="E41" s="4" t="s">
        <v>111</v>
      </c>
      <c r="F41" s="4" t="s">
        <v>132</v>
      </c>
      <c r="G41" s="4" t="s">
        <v>32</v>
      </c>
      <c r="H41" s="5" t="s">
        <v>133</v>
      </c>
      <c r="I41" s="5"/>
      <c r="J41" s="4" t="str">
        <f aca="false">IF(H41="","Sin caso de prueba",IF(I41="","Con caso, sin automatizar","Automatizada"))</f>
        <v>Con caso, sin automatizar</v>
      </c>
      <c r="K41" s="4"/>
    </row>
    <row r="42" customFormat="false" ht="15" hidden="false" customHeight="false" outlineLevel="0" collapsed="false">
      <c r="A42" s="4" t="s">
        <v>109</v>
      </c>
      <c r="B42" s="4" t="s">
        <v>131</v>
      </c>
      <c r="C42" s="4" t="s">
        <v>29</v>
      </c>
      <c r="D42" s="4" t="n">
        <v>2</v>
      </c>
      <c r="E42" s="4" t="s">
        <v>111</v>
      </c>
      <c r="F42" s="4" t="s">
        <v>134</v>
      </c>
      <c r="G42" s="4" t="s">
        <v>32</v>
      </c>
      <c r="H42" s="5"/>
      <c r="I42" s="5"/>
      <c r="J42" s="4" t="str">
        <f aca="false">IF(H42="","Sin caso de prueba",IF(I42="","Con caso, sin automatizar","Automatizada"))</f>
        <v>Sin caso de prueba</v>
      </c>
      <c r="K42" s="4" t="s">
        <v>121</v>
      </c>
    </row>
    <row r="43" customFormat="false" ht="15" hidden="false" customHeight="false" outlineLevel="0" collapsed="false">
      <c r="A43" s="4" t="s">
        <v>109</v>
      </c>
      <c r="B43" s="4" t="s">
        <v>131</v>
      </c>
      <c r="C43" s="4" t="s">
        <v>29</v>
      </c>
      <c r="D43" s="4" t="n">
        <v>2</v>
      </c>
      <c r="E43" s="4" t="s">
        <v>111</v>
      </c>
      <c r="F43" s="4" t="s">
        <v>135</v>
      </c>
      <c r="G43" s="4" t="s">
        <v>32</v>
      </c>
      <c r="H43" s="5" t="s">
        <v>136</v>
      </c>
      <c r="I43" s="5"/>
      <c r="J43" s="4" t="str">
        <f aca="false">IF(H43="","Sin caso de prueba",IF(I43="","Con caso, sin automatizar","Automatizada"))</f>
        <v>Con caso, sin automatizar</v>
      </c>
      <c r="K43" s="4"/>
    </row>
    <row r="44" customFormat="false" ht="15" hidden="false" customHeight="false" outlineLevel="0" collapsed="false">
      <c r="A44" s="4" t="s">
        <v>109</v>
      </c>
      <c r="B44" s="4" t="s">
        <v>131</v>
      </c>
      <c r="C44" s="4" t="s">
        <v>29</v>
      </c>
      <c r="D44" s="4" t="n">
        <v>2</v>
      </c>
      <c r="E44" s="4" t="s">
        <v>111</v>
      </c>
      <c r="F44" s="4" t="s">
        <v>137</v>
      </c>
      <c r="G44" s="4" t="s">
        <v>32</v>
      </c>
      <c r="H44" s="5"/>
      <c r="I44" s="5"/>
      <c r="J44" s="4" t="str">
        <f aca="false">IF(H44="","Sin caso de prueba",IF(I44="","Con caso, sin automatizar","Automatizada"))</f>
        <v>Sin caso de prueba</v>
      </c>
      <c r="K44" s="4" t="s">
        <v>121</v>
      </c>
    </row>
    <row r="45" customFormat="false" ht="15" hidden="false" customHeight="false" outlineLevel="0" collapsed="false">
      <c r="A45" s="4" t="s">
        <v>109</v>
      </c>
      <c r="B45" s="4" t="s">
        <v>131</v>
      </c>
      <c r="C45" s="4" t="s">
        <v>29</v>
      </c>
      <c r="D45" s="4" t="n">
        <v>2</v>
      </c>
      <c r="E45" s="4" t="s">
        <v>111</v>
      </c>
      <c r="F45" s="4" t="s">
        <v>66</v>
      </c>
      <c r="G45" s="4" t="s">
        <v>35</v>
      </c>
      <c r="H45" s="5"/>
      <c r="I45" s="5"/>
      <c r="J45" s="4" t="str">
        <f aca="false">IF(H45="","Sin caso de prueba",IF(I45="","Con caso, sin automatizar","Automatizada"))</f>
        <v>Sin caso de prueba</v>
      </c>
      <c r="K45" s="4" t="s">
        <v>121</v>
      </c>
    </row>
    <row r="46" customFormat="false" ht="15" hidden="false" customHeight="false" outlineLevel="0" collapsed="false">
      <c r="A46" s="4" t="s">
        <v>109</v>
      </c>
      <c r="B46" s="4" t="s">
        <v>131</v>
      </c>
      <c r="C46" s="4" t="s">
        <v>29</v>
      </c>
      <c r="D46" s="4" t="n">
        <v>2</v>
      </c>
      <c r="E46" s="4" t="s">
        <v>111</v>
      </c>
      <c r="F46" s="4" t="s">
        <v>54</v>
      </c>
      <c r="G46" s="4" t="s">
        <v>35</v>
      </c>
      <c r="H46" s="5" t="s">
        <v>89</v>
      </c>
      <c r="I46" s="5"/>
      <c r="J46" s="4" t="str">
        <f aca="false">IF(H46="","Sin caso de prueba",IF(I46="","Con caso, sin automatizar","Automatizada"))</f>
        <v>Con caso, sin automatizar</v>
      </c>
      <c r="K46" s="4" t="s">
        <v>130</v>
      </c>
    </row>
    <row r="47" customFormat="false" ht="15" hidden="false" customHeight="false" outlineLevel="0" collapsed="false">
      <c r="A47" s="4" t="s">
        <v>138</v>
      </c>
      <c r="B47" s="4" t="s">
        <v>139</v>
      </c>
      <c r="C47" s="4" t="s">
        <v>29</v>
      </c>
      <c r="D47" s="4" t="n">
        <v>3</v>
      </c>
      <c r="E47" s="4" t="s">
        <v>140</v>
      </c>
      <c r="F47" s="4" t="s">
        <v>141</v>
      </c>
      <c r="G47" s="4" t="s">
        <v>32</v>
      </c>
      <c r="H47" s="5" t="s">
        <v>142</v>
      </c>
      <c r="I47" s="5"/>
      <c r="J47" s="4" t="str">
        <f aca="false">IF(H47="","Sin caso de prueba",IF(I47="","Con caso, sin automatizar","Automatizada"))</f>
        <v>Con caso, sin automatizar</v>
      </c>
      <c r="K47" s="4" t="s">
        <v>143</v>
      </c>
    </row>
    <row r="48" customFormat="false" ht="15" hidden="false" customHeight="false" outlineLevel="0" collapsed="false">
      <c r="A48" s="4" t="s">
        <v>138</v>
      </c>
      <c r="B48" s="4" t="s">
        <v>139</v>
      </c>
      <c r="C48" s="4" t="s">
        <v>29</v>
      </c>
      <c r="D48" s="4" t="n">
        <v>3</v>
      </c>
      <c r="E48" s="4" t="s">
        <v>140</v>
      </c>
      <c r="F48" s="4" t="s">
        <v>144</v>
      </c>
      <c r="G48" s="4" t="s">
        <v>32</v>
      </c>
      <c r="H48" s="5" t="s">
        <v>145</v>
      </c>
      <c r="I48" s="5"/>
      <c r="J48" s="4" t="str">
        <f aca="false">IF(H48="","Sin caso de prueba",IF(I48="","Con caso, sin automatizar","Automatizada"))</f>
        <v>Con caso, sin automatizar</v>
      </c>
      <c r="K48" s="4"/>
    </row>
    <row r="49" customFormat="false" ht="15" hidden="false" customHeight="false" outlineLevel="0" collapsed="false">
      <c r="A49" s="4" t="s">
        <v>138</v>
      </c>
      <c r="B49" s="4" t="s">
        <v>139</v>
      </c>
      <c r="C49" s="4" t="s">
        <v>29</v>
      </c>
      <c r="D49" s="4" t="n">
        <v>3</v>
      </c>
      <c r="E49" s="4" t="s">
        <v>140</v>
      </c>
      <c r="F49" s="4" t="s">
        <v>146</v>
      </c>
      <c r="G49" s="4" t="s">
        <v>32</v>
      </c>
      <c r="H49" s="5" t="s">
        <v>147</v>
      </c>
      <c r="I49" s="5"/>
      <c r="J49" s="4" t="str">
        <f aca="false">IF(H49="","Sin caso de prueba",IF(I49="","Con caso, sin automatizar","Automatizada"))</f>
        <v>Con caso, sin automatizar</v>
      </c>
      <c r="K49" s="4"/>
    </row>
    <row r="50" customFormat="false" ht="15" hidden="false" customHeight="false" outlineLevel="0" collapsed="false">
      <c r="A50" s="4" t="s">
        <v>138</v>
      </c>
      <c r="B50" s="4" t="s">
        <v>139</v>
      </c>
      <c r="C50" s="4" t="s">
        <v>29</v>
      </c>
      <c r="D50" s="4" t="n">
        <v>3</v>
      </c>
      <c r="E50" s="4" t="s">
        <v>140</v>
      </c>
      <c r="F50" s="4" t="s">
        <v>148</v>
      </c>
      <c r="G50" s="4" t="s">
        <v>35</v>
      </c>
      <c r="H50" s="5" t="s">
        <v>65</v>
      </c>
      <c r="I50" s="5"/>
      <c r="J50" s="4" t="str">
        <f aca="false">IF(H50="","Sin caso de prueba",IF(I50="","Con caso, sin automatizar","Automatizada"))</f>
        <v>Con caso, sin automatizar</v>
      </c>
      <c r="K50" s="4" t="s">
        <v>149</v>
      </c>
    </row>
    <row r="51" customFormat="false" ht="15" hidden="false" customHeight="false" outlineLevel="0" collapsed="false">
      <c r="A51" s="4" t="s">
        <v>150</v>
      </c>
      <c r="B51" s="4" t="s">
        <v>151</v>
      </c>
      <c r="C51" s="4" t="s">
        <v>29</v>
      </c>
      <c r="D51" s="4" t="n">
        <v>3</v>
      </c>
      <c r="E51" s="4" t="s">
        <v>140</v>
      </c>
      <c r="F51" s="4" t="s">
        <v>152</v>
      </c>
      <c r="G51" s="4" t="s">
        <v>32</v>
      </c>
      <c r="H51" s="5" t="s">
        <v>153</v>
      </c>
      <c r="I51" s="5"/>
      <c r="J51" s="4" t="str">
        <f aca="false">IF(H51="","Sin caso de prueba",IF(I51="","Con caso, sin automatizar","Automatizada"))</f>
        <v>Con caso, sin automatizar</v>
      </c>
      <c r="K51" s="4"/>
    </row>
    <row r="52" customFormat="false" ht="15" hidden="false" customHeight="false" outlineLevel="0" collapsed="false">
      <c r="A52" s="4" t="s">
        <v>150</v>
      </c>
      <c r="B52" s="4" t="s">
        <v>151</v>
      </c>
      <c r="C52" s="4" t="s">
        <v>29</v>
      </c>
      <c r="D52" s="4" t="n">
        <v>3</v>
      </c>
      <c r="E52" s="4" t="s">
        <v>140</v>
      </c>
      <c r="F52" s="4" t="s">
        <v>154</v>
      </c>
      <c r="G52" s="4" t="s">
        <v>32</v>
      </c>
      <c r="H52" s="5" t="s">
        <v>155</v>
      </c>
      <c r="I52" s="5"/>
      <c r="J52" s="4" t="str">
        <f aca="false">IF(H52="","Sin caso de prueba",IF(I52="","Con caso, sin automatizar","Automatizada"))</f>
        <v>Con caso, sin automatizar</v>
      </c>
      <c r="K52" s="4"/>
    </row>
    <row r="53" customFormat="false" ht="15" hidden="false" customHeight="false" outlineLevel="0" collapsed="false">
      <c r="A53" s="4" t="s">
        <v>150</v>
      </c>
      <c r="B53" s="4" t="s">
        <v>151</v>
      </c>
      <c r="C53" s="4" t="s">
        <v>29</v>
      </c>
      <c r="D53" s="4" t="n">
        <v>3</v>
      </c>
      <c r="E53" s="4" t="s">
        <v>140</v>
      </c>
      <c r="F53" s="4" t="s">
        <v>156</v>
      </c>
      <c r="G53" s="4" t="s">
        <v>35</v>
      </c>
      <c r="H53" s="5" t="s">
        <v>157</v>
      </c>
      <c r="I53" s="5"/>
      <c r="J53" s="4" t="str">
        <f aca="false">IF(H53="","Sin caso de prueba",IF(I53="","Con caso, sin automatizar","Automatizada"))</f>
        <v>Con caso, sin automatizar</v>
      </c>
      <c r="K53" s="4"/>
    </row>
    <row r="54" customFormat="false" ht="15" hidden="false" customHeight="false" outlineLevel="0" collapsed="false">
      <c r="A54" s="4" t="s">
        <v>158</v>
      </c>
      <c r="B54" s="4" t="s">
        <v>159</v>
      </c>
      <c r="C54" s="4" t="s">
        <v>160</v>
      </c>
      <c r="D54" s="4" t="n">
        <v>4</v>
      </c>
      <c r="E54" s="4" t="s">
        <v>140</v>
      </c>
      <c r="F54" s="4" t="s">
        <v>161</v>
      </c>
      <c r="G54" s="4" t="s">
        <v>32</v>
      </c>
      <c r="H54" s="5"/>
      <c r="I54" s="5"/>
      <c r="J54" s="4" t="str">
        <f aca="false">IF(H54="","Sin caso de prueba",IF(I54="","Con caso, sin automatizar","Automatizada"))</f>
        <v>Sin caso de prueba</v>
      </c>
      <c r="K54" s="4" t="s">
        <v>162</v>
      </c>
    </row>
    <row r="55" customFormat="false" ht="15" hidden="false" customHeight="false" outlineLevel="0" collapsed="false">
      <c r="A55" s="4" t="s">
        <v>158</v>
      </c>
      <c r="B55" s="4" t="s">
        <v>159</v>
      </c>
      <c r="C55" s="4" t="s">
        <v>160</v>
      </c>
      <c r="D55" s="4" t="n">
        <v>4</v>
      </c>
      <c r="E55" s="4" t="s">
        <v>140</v>
      </c>
      <c r="F55" s="4" t="s">
        <v>163</v>
      </c>
      <c r="G55" s="4" t="s">
        <v>32</v>
      </c>
      <c r="H55" s="5"/>
      <c r="I55" s="5"/>
      <c r="J55" s="4" t="str">
        <f aca="false">IF(H55="","Sin caso de prueba",IF(I55="","Con caso, sin automatizar","Automatizada"))</f>
        <v>Sin caso de prueba</v>
      </c>
      <c r="K55" s="4" t="s">
        <v>162</v>
      </c>
    </row>
    <row r="56" customFormat="false" ht="15" hidden="false" customHeight="false" outlineLevel="0" collapsed="false">
      <c r="A56" s="4" t="s">
        <v>158</v>
      </c>
      <c r="B56" s="4" t="s">
        <v>159</v>
      </c>
      <c r="C56" s="4" t="s">
        <v>160</v>
      </c>
      <c r="D56" s="4" t="n">
        <v>4</v>
      </c>
      <c r="E56" s="4" t="s">
        <v>140</v>
      </c>
      <c r="F56" s="4" t="s">
        <v>164</v>
      </c>
      <c r="G56" s="4" t="s">
        <v>35</v>
      </c>
      <c r="H56" s="5"/>
      <c r="I56" s="5"/>
      <c r="J56" s="4" t="str">
        <f aca="false">IF(H56="","Sin caso de prueba",IF(I56="","Con caso, sin automatizar","Automatizada"))</f>
        <v>Sin caso de prueba</v>
      </c>
      <c r="K56" s="4" t="s">
        <v>162</v>
      </c>
    </row>
    <row r="57" customFormat="false" ht="15" hidden="false" customHeight="false" outlineLevel="0" collapsed="false">
      <c r="A57" s="4" t="s">
        <v>158</v>
      </c>
      <c r="B57" s="4" t="s">
        <v>159</v>
      </c>
      <c r="C57" s="4" t="s">
        <v>160</v>
      </c>
      <c r="D57" s="4" t="n">
        <v>4</v>
      </c>
      <c r="E57" s="4" t="s">
        <v>140</v>
      </c>
      <c r="F57" s="4" t="s">
        <v>78</v>
      </c>
      <c r="G57" s="4" t="s">
        <v>35</v>
      </c>
      <c r="H57" s="5"/>
      <c r="I57" s="5"/>
      <c r="J57" s="4" t="str">
        <f aca="false">IF(H57="","Sin caso de prueba",IF(I57="","Con caso, sin automatizar","Automatizada"))</f>
        <v>Sin caso de prueba</v>
      </c>
      <c r="K57" s="4" t="s">
        <v>162</v>
      </c>
    </row>
    <row r="58" customFormat="false" ht="15" hidden="false" customHeight="false" outlineLevel="0" collapsed="false">
      <c r="A58" s="4" t="s">
        <v>165</v>
      </c>
      <c r="B58" s="4" t="s">
        <v>166</v>
      </c>
      <c r="C58" s="4" t="s">
        <v>160</v>
      </c>
      <c r="D58" s="4" t="n">
        <v>4</v>
      </c>
      <c r="E58" s="4" t="s">
        <v>140</v>
      </c>
      <c r="F58" s="4" t="s">
        <v>167</v>
      </c>
      <c r="G58" s="4" t="s">
        <v>32</v>
      </c>
      <c r="H58" s="5"/>
      <c r="I58" s="5"/>
      <c r="J58" s="4" t="str">
        <f aca="false">IF(H58="","Sin caso de prueba",IF(I58="","Con caso, sin automatizar","Automatizada"))</f>
        <v>Sin caso de prueba</v>
      </c>
      <c r="K58" s="4" t="s">
        <v>162</v>
      </c>
    </row>
    <row r="59" customFormat="false" ht="15" hidden="false" customHeight="false" outlineLevel="0" collapsed="false">
      <c r="A59" s="4" t="s">
        <v>165</v>
      </c>
      <c r="B59" s="4" t="s">
        <v>166</v>
      </c>
      <c r="C59" s="4" t="s">
        <v>160</v>
      </c>
      <c r="D59" s="4" t="n">
        <v>4</v>
      </c>
      <c r="E59" s="4" t="s">
        <v>140</v>
      </c>
      <c r="F59" s="4" t="s">
        <v>168</v>
      </c>
      <c r="G59" s="4" t="s">
        <v>32</v>
      </c>
      <c r="H59" s="5"/>
      <c r="I59" s="5"/>
      <c r="J59" s="4" t="str">
        <f aca="false">IF(H59="","Sin caso de prueba",IF(I59="","Con caso, sin automatizar","Automatizada"))</f>
        <v>Sin caso de prueba</v>
      </c>
      <c r="K59" s="4" t="s">
        <v>162</v>
      </c>
    </row>
    <row r="60" customFormat="false" ht="15" hidden="false" customHeight="false" outlineLevel="0" collapsed="false">
      <c r="A60" s="4" t="s">
        <v>165</v>
      </c>
      <c r="B60" s="4" t="s">
        <v>166</v>
      </c>
      <c r="C60" s="4" t="s">
        <v>160</v>
      </c>
      <c r="D60" s="4" t="n">
        <v>4</v>
      </c>
      <c r="E60" s="4" t="s">
        <v>140</v>
      </c>
      <c r="F60" s="4" t="s">
        <v>169</v>
      </c>
      <c r="G60" s="4" t="s">
        <v>35</v>
      </c>
      <c r="H60" s="5"/>
      <c r="I60" s="5"/>
      <c r="J60" s="4" t="str">
        <f aca="false">IF(H60="","Sin caso de prueba",IF(I60="","Con caso, sin automatizar","Automatizada"))</f>
        <v>Sin caso de prueba</v>
      </c>
      <c r="K60" s="4" t="s">
        <v>162</v>
      </c>
    </row>
    <row r="61" customFormat="false" ht="15" hidden="false" customHeight="false" outlineLevel="0" collapsed="false">
      <c r="A61" s="4" t="s">
        <v>170</v>
      </c>
      <c r="B61" s="4" t="s">
        <v>171</v>
      </c>
      <c r="C61" s="4" t="s">
        <v>160</v>
      </c>
      <c r="D61" s="4" t="n">
        <v>4</v>
      </c>
      <c r="E61" s="4" t="s">
        <v>111</v>
      </c>
      <c r="F61" s="4" t="s">
        <v>172</v>
      </c>
      <c r="G61" s="4" t="s">
        <v>32</v>
      </c>
      <c r="H61" s="5"/>
      <c r="I61" s="5"/>
      <c r="J61" s="4" t="str">
        <f aca="false">IF(H61="","Sin caso de prueba",IF(I61="","Con caso, sin automatizar","Automatizada"))</f>
        <v>Sin caso de prueba</v>
      </c>
      <c r="K61" s="4" t="s">
        <v>162</v>
      </c>
    </row>
    <row r="62" customFormat="false" ht="15" hidden="false" customHeight="false" outlineLevel="0" collapsed="false">
      <c r="A62" s="4" t="s">
        <v>170</v>
      </c>
      <c r="B62" s="4" t="s">
        <v>171</v>
      </c>
      <c r="C62" s="4" t="s">
        <v>160</v>
      </c>
      <c r="D62" s="4" t="n">
        <v>4</v>
      </c>
      <c r="E62" s="4" t="s">
        <v>111</v>
      </c>
      <c r="F62" s="4" t="s">
        <v>173</v>
      </c>
      <c r="G62" s="4" t="s">
        <v>32</v>
      </c>
      <c r="H62" s="5"/>
      <c r="I62" s="5"/>
      <c r="J62" s="4" t="str">
        <f aca="false">IF(H62="","Sin caso de prueba",IF(I62="","Con caso, sin automatizar","Automatizada"))</f>
        <v>Sin caso de prueba</v>
      </c>
      <c r="K62" s="4" t="s">
        <v>162</v>
      </c>
    </row>
    <row r="63" customFormat="false" ht="15" hidden="false" customHeight="false" outlineLevel="0" collapsed="false">
      <c r="A63" s="4" t="s">
        <v>170</v>
      </c>
      <c r="B63" s="4" t="s">
        <v>171</v>
      </c>
      <c r="C63" s="4" t="s">
        <v>160</v>
      </c>
      <c r="D63" s="4" t="n">
        <v>4</v>
      </c>
      <c r="E63" s="4" t="s">
        <v>111</v>
      </c>
      <c r="F63" s="4" t="s">
        <v>66</v>
      </c>
      <c r="G63" s="4" t="s">
        <v>35</v>
      </c>
      <c r="H63" s="5"/>
      <c r="I63" s="5"/>
      <c r="J63" s="4" t="str">
        <f aca="false">IF(H63="","Sin caso de prueba",IF(I63="","Con caso, sin automatizar","Automatizada"))</f>
        <v>Sin caso de prueba</v>
      </c>
      <c r="K63" s="4" t="s">
        <v>162</v>
      </c>
    </row>
    <row r="64" customFormat="false" ht="15" hidden="false" customHeight="false" outlineLevel="0" collapsed="false">
      <c r="A64" s="4" t="s">
        <v>170</v>
      </c>
      <c r="B64" s="4" t="s">
        <v>171</v>
      </c>
      <c r="C64" s="4" t="s">
        <v>160</v>
      </c>
      <c r="D64" s="4" t="n">
        <v>4</v>
      </c>
      <c r="E64" s="4" t="s">
        <v>111</v>
      </c>
      <c r="F64" s="4" t="s">
        <v>54</v>
      </c>
      <c r="G64" s="4" t="s">
        <v>35</v>
      </c>
      <c r="H64" s="5"/>
      <c r="I64" s="5"/>
      <c r="J64" s="4" t="str">
        <f aca="false">IF(H64="","Sin caso de prueba",IF(I64="","Con caso, sin automatizar","Automatizada"))</f>
        <v>Sin caso de prueba</v>
      </c>
      <c r="K64" s="4" t="s">
        <v>162</v>
      </c>
    </row>
    <row r="65" customFormat="false" ht="15" hidden="false" customHeight="false" outlineLevel="0" collapsed="false">
      <c r="A65" s="4" t="s">
        <v>174</v>
      </c>
      <c r="B65" s="4" t="s">
        <v>175</v>
      </c>
      <c r="C65" s="4" t="s">
        <v>160</v>
      </c>
      <c r="D65" s="4" t="n">
        <v>4</v>
      </c>
      <c r="E65" s="4" t="s">
        <v>176</v>
      </c>
      <c r="F65" s="4" t="s">
        <v>177</v>
      </c>
      <c r="G65" s="4" t="s">
        <v>32</v>
      </c>
      <c r="H65" s="5"/>
      <c r="I65" s="5"/>
      <c r="J65" s="4" t="str">
        <f aca="false">IF(H65="","Sin caso de prueba",IF(I65="","Con caso, sin automatizar","Automatizada"))</f>
        <v>Sin caso de prueba</v>
      </c>
      <c r="K65" s="4" t="s">
        <v>162</v>
      </c>
    </row>
    <row r="66" customFormat="false" ht="15" hidden="false" customHeight="false" outlineLevel="0" collapsed="false">
      <c r="A66" s="4" t="s">
        <v>174</v>
      </c>
      <c r="B66" s="4" t="s">
        <v>175</v>
      </c>
      <c r="C66" s="4" t="s">
        <v>160</v>
      </c>
      <c r="D66" s="4" t="n">
        <v>4</v>
      </c>
      <c r="E66" s="4" t="s">
        <v>176</v>
      </c>
      <c r="F66" s="4" t="s">
        <v>54</v>
      </c>
      <c r="G66" s="4" t="s">
        <v>35</v>
      </c>
      <c r="H66" s="5"/>
      <c r="I66" s="5"/>
      <c r="J66" s="4" t="str">
        <f aca="false">IF(H66="","Sin caso de prueba",IF(I66="","Con caso, sin automatizar","Automatizada"))</f>
        <v>Sin caso de prueba</v>
      </c>
      <c r="K66" s="4" t="s">
        <v>162</v>
      </c>
    </row>
    <row r="67" customFormat="false" ht="15" hidden="false" customHeight="false" outlineLevel="0" collapsed="false">
      <c r="A67" s="4" t="s">
        <v>178</v>
      </c>
      <c r="B67" s="4" t="s">
        <v>179</v>
      </c>
      <c r="C67" s="4" t="s">
        <v>160</v>
      </c>
      <c r="D67" s="4" t="n">
        <v>5</v>
      </c>
      <c r="E67" s="4" t="s">
        <v>176</v>
      </c>
      <c r="F67" s="4" t="s">
        <v>180</v>
      </c>
      <c r="G67" s="4" t="s">
        <v>32</v>
      </c>
      <c r="H67" s="5"/>
      <c r="I67" s="5"/>
      <c r="J67" s="4" t="str">
        <f aca="false">IF(H67="","Sin caso de prueba",IF(I67="","Con caso, sin automatizar","Automatizada"))</f>
        <v>Sin caso de prueba</v>
      </c>
      <c r="K67" s="4" t="s">
        <v>162</v>
      </c>
    </row>
    <row r="68" customFormat="false" ht="15" hidden="false" customHeight="false" outlineLevel="0" collapsed="false">
      <c r="A68" s="4" t="s">
        <v>178</v>
      </c>
      <c r="B68" s="4" t="s">
        <v>179</v>
      </c>
      <c r="C68" s="4" t="s">
        <v>160</v>
      </c>
      <c r="D68" s="4" t="n">
        <v>5</v>
      </c>
      <c r="E68" s="4" t="s">
        <v>176</v>
      </c>
      <c r="F68" s="4" t="s">
        <v>181</v>
      </c>
      <c r="G68" s="4" t="s">
        <v>32</v>
      </c>
      <c r="H68" s="5"/>
      <c r="I68" s="5"/>
      <c r="J68" s="4" t="str">
        <f aca="false">IF(H68="","Sin caso de prueba",IF(I68="","Con caso, sin automatizar","Automatizada"))</f>
        <v>Sin caso de prueba</v>
      </c>
      <c r="K68" s="4" t="s">
        <v>162</v>
      </c>
    </row>
    <row r="69" customFormat="false" ht="15" hidden="false" customHeight="false" outlineLevel="0" collapsed="false">
      <c r="A69" s="4" t="s">
        <v>178</v>
      </c>
      <c r="B69" s="4" t="s">
        <v>179</v>
      </c>
      <c r="C69" s="4" t="s">
        <v>160</v>
      </c>
      <c r="D69" s="4" t="n">
        <v>5</v>
      </c>
      <c r="E69" s="4" t="s">
        <v>176</v>
      </c>
      <c r="F69" s="4" t="s">
        <v>182</v>
      </c>
      <c r="G69" s="4" t="s">
        <v>35</v>
      </c>
      <c r="H69" s="5"/>
      <c r="I69" s="5"/>
      <c r="J69" s="4" t="str">
        <f aca="false">IF(H69="","Sin caso de prueba",IF(I69="","Con caso, sin automatizar","Automatizada"))</f>
        <v>Sin caso de prueba</v>
      </c>
      <c r="K69" s="4" t="s">
        <v>162</v>
      </c>
    </row>
    <row r="70" customFormat="false" ht="15" hidden="false" customHeight="false" outlineLevel="0" collapsed="false">
      <c r="A70" s="4" t="s">
        <v>183</v>
      </c>
      <c r="B70" s="4" t="s">
        <v>184</v>
      </c>
      <c r="C70" s="4" t="s">
        <v>185</v>
      </c>
      <c r="D70" s="4" t="n">
        <v>6</v>
      </c>
      <c r="E70" s="4" t="s">
        <v>140</v>
      </c>
      <c r="F70" s="4" t="s">
        <v>186</v>
      </c>
      <c r="G70" s="4" t="s">
        <v>32</v>
      </c>
      <c r="H70" s="5"/>
      <c r="I70" s="5"/>
      <c r="J70" s="4" t="str">
        <f aca="false">IF(H70="","Sin caso de prueba",IF(I70="","Con caso, sin automatizar","Automatizada"))</f>
        <v>Sin caso de prueba</v>
      </c>
      <c r="K70" s="4" t="s">
        <v>162</v>
      </c>
    </row>
    <row r="71" customFormat="false" ht="15" hidden="false" customHeight="false" outlineLevel="0" collapsed="false">
      <c r="A71" s="4" t="s">
        <v>183</v>
      </c>
      <c r="B71" s="4" t="s">
        <v>184</v>
      </c>
      <c r="C71" s="4" t="s">
        <v>185</v>
      </c>
      <c r="D71" s="4" t="n">
        <v>6</v>
      </c>
      <c r="E71" s="4" t="s">
        <v>140</v>
      </c>
      <c r="F71" s="4" t="s">
        <v>187</v>
      </c>
      <c r="G71" s="4" t="s">
        <v>35</v>
      </c>
      <c r="H71" s="5"/>
      <c r="I71" s="5"/>
      <c r="J71" s="4" t="str">
        <f aca="false">IF(H71="","Sin caso de prueba",IF(I71="","Con caso, sin automatizar","Automatizada"))</f>
        <v>Sin caso de prueba</v>
      </c>
      <c r="K71" s="4" t="s">
        <v>162</v>
      </c>
    </row>
    <row r="72" customFormat="false" ht="15" hidden="false" customHeight="false" outlineLevel="0" collapsed="false">
      <c r="A72" s="4" t="s">
        <v>188</v>
      </c>
      <c r="B72" s="4" t="s">
        <v>189</v>
      </c>
      <c r="C72" s="4" t="s">
        <v>185</v>
      </c>
      <c r="D72" s="4" t="n">
        <v>6</v>
      </c>
      <c r="E72" s="4" t="s">
        <v>58</v>
      </c>
      <c r="F72" s="4" t="s">
        <v>190</v>
      </c>
      <c r="G72" s="4" t="s">
        <v>32</v>
      </c>
      <c r="H72" s="5"/>
      <c r="I72" s="5"/>
      <c r="J72" s="4" t="str">
        <f aca="false">IF(H72="","Sin caso de prueba",IF(I72="","Con caso, sin automatizar","Automatizada"))</f>
        <v>Sin caso de prueba</v>
      </c>
      <c r="K72" s="4" t="s">
        <v>162</v>
      </c>
    </row>
    <row r="73" customFormat="false" ht="15" hidden="false" customHeight="false" outlineLevel="0" collapsed="false">
      <c r="A73" s="4" t="s">
        <v>188</v>
      </c>
      <c r="B73" s="4" t="s">
        <v>189</v>
      </c>
      <c r="C73" s="4" t="s">
        <v>185</v>
      </c>
      <c r="D73" s="4" t="n">
        <v>6</v>
      </c>
      <c r="E73" s="4" t="s">
        <v>58</v>
      </c>
      <c r="F73" s="4" t="s">
        <v>191</v>
      </c>
      <c r="G73" s="4" t="s">
        <v>35</v>
      </c>
      <c r="H73" s="5"/>
      <c r="I73" s="5"/>
      <c r="J73" s="4" t="str">
        <f aca="false">IF(H73="","Sin caso de prueba",IF(I73="","Con caso, sin automatizar","Automatizada"))</f>
        <v>Sin caso de prueba</v>
      </c>
      <c r="K73" s="4" t="s">
        <v>162</v>
      </c>
    </row>
  </sheetData>
  <autoFilter ref="A1:K73"/>
  <conditionalFormatting sqref="J2:J73">
    <cfRule type="expression" priority="2" aboveAverage="0" equalAverage="0" bottom="0" percent="0" rank="0" text="" dxfId="7">
      <formula>$J2="Sin caso de prueba"</formula>
    </cfRule>
    <cfRule type="expression" priority="3" aboveAverage="0" equalAverage="0" bottom="0" percent="0" rank="0" text="" dxfId="8">
      <formula>$J2="Con caso, sin automatizar"</formula>
    </cfRule>
    <cfRule type="expression" priority="4" aboveAverage="0" equalAverage="0" bottom="0" percent="0" rank="0" text="" dxfId="9">
      <formula>$J2="Automatizada"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28"/>
  </cols>
  <sheetData>
    <row r="1" customFormat="false" ht="23.85" hidden="false" customHeight="false" outlineLevel="0" collapsed="false">
      <c r="A1" s="3" t="s">
        <v>16</v>
      </c>
      <c r="B1" s="3" t="s">
        <v>192</v>
      </c>
      <c r="C1" s="3" t="s">
        <v>18</v>
      </c>
      <c r="D1" s="3" t="s">
        <v>193</v>
      </c>
      <c r="E1" s="3" t="s">
        <v>194</v>
      </c>
      <c r="F1" s="3" t="s">
        <v>195</v>
      </c>
      <c r="G1" s="3" t="s">
        <v>196</v>
      </c>
      <c r="H1" s="3" t="s">
        <v>197</v>
      </c>
      <c r="I1" s="3" t="s">
        <v>198</v>
      </c>
      <c r="J1" s="3" t="s">
        <v>199</v>
      </c>
      <c r="K1" s="3" t="s">
        <v>200</v>
      </c>
    </row>
    <row r="2" customFormat="false" ht="15" hidden="false" customHeight="false" outlineLevel="0" collapsed="false">
      <c r="A2" s="4" t="s">
        <v>27</v>
      </c>
      <c r="B2" s="4" t="s">
        <v>28</v>
      </c>
      <c r="C2" s="4" t="s">
        <v>29</v>
      </c>
      <c r="D2" s="4" t="s">
        <v>201</v>
      </c>
      <c r="E2" s="4" t="n">
        <f aca="false">COUNTIF(Trazabilidad!$A$2:$A$73,A2)</f>
        <v>3</v>
      </c>
      <c r="F2" s="4" t="n">
        <f aca="false">COUNTIFS(Trazabilidad!$A$2:$A$73,A2,Trazabilidad!$G$2:$G$73,"Positivo")</f>
        <v>1</v>
      </c>
      <c r="G2" s="4" t="n">
        <f aca="false">COUNTIFS(Trazabilidad!$A$2:$A$73,A2,Trazabilidad!$G$2:$G$73,"Negativo")</f>
        <v>2</v>
      </c>
      <c r="H2" s="4" t="n">
        <f aca="false">COUNTIFS(Trazabilidad!$A$2:$A$73,A2,Trazabilidad!$H$2:$H$73,"&lt;&gt;")</f>
        <v>3</v>
      </c>
      <c r="I2" s="4" t="n">
        <f aca="false">COUNTIFS(Trazabilidad!$A$2:$A$73,A2,Trazabilidad!$I$2:$I$73,"&lt;&gt;")</f>
        <v>0</v>
      </c>
      <c r="J2" s="6" t="n">
        <f aca="false">IF(E2=0,0,H2/E2)</f>
        <v>1</v>
      </c>
      <c r="K2" s="4" t="str">
        <f aca="false">IF(G2=0,"Falta escenario negativo",IF(F2=0,"Falta escenario positivo",IF(H2&lt;E2,"Faltan casos de prueba","OK")))</f>
        <v>OK</v>
      </c>
    </row>
    <row r="3" customFormat="false" ht="15" hidden="false" customHeight="false" outlineLevel="0" collapsed="false">
      <c r="A3" s="4" t="s">
        <v>40</v>
      </c>
      <c r="B3" s="4" t="s">
        <v>41</v>
      </c>
      <c r="C3" s="4" t="s">
        <v>29</v>
      </c>
      <c r="D3" s="4" t="s">
        <v>201</v>
      </c>
      <c r="E3" s="4" t="n">
        <f aca="false">COUNTIF(Trazabilidad!$A$2:$A$73,A3)</f>
        <v>3</v>
      </c>
      <c r="F3" s="4" t="n">
        <f aca="false">COUNTIFS(Trazabilidad!$A$2:$A$73,A3,Trazabilidad!$G$2:$G$73,"Positivo")</f>
        <v>1</v>
      </c>
      <c r="G3" s="4" t="n">
        <f aca="false">COUNTIFS(Trazabilidad!$A$2:$A$73,A3,Trazabilidad!$G$2:$G$73,"Negativo")</f>
        <v>2</v>
      </c>
      <c r="H3" s="4" t="n">
        <f aca="false">COUNTIFS(Trazabilidad!$A$2:$A$73,A3,Trazabilidad!$H$2:$H$73,"&lt;&gt;")</f>
        <v>3</v>
      </c>
      <c r="I3" s="4" t="n">
        <f aca="false">COUNTIFS(Trazabilidad!$A$2:$A$73,A3,Trazabilidad!$I$2:$I$73,"&lt;&gt;")</f>
        <v>0</v>
      </c>
      <c r="J3" s="6" t="n">
        <f aca="false">IF(E3=0,0,H3/E3)</f>
        <v>1</v>
      </c>
      <c r="K3" s="4" t="str">
        <f aca="false">IF(G3=0,"Falta escenario negativo",IF(F3=0,"Falta escenario positivo",IF(H3&lt;E3,"Faltan casos de prueba","OK")))</f>
        <v>OK</v>
      </c>
    </row>
    <row r="4" customFormat="false" ht="15" hidden="false" customHeight="false" outlineLevel="0" collapsed="false">
      <c r="A4" s="4" t="s">
        <v>48</v>
      </c>
      <c r="B4" s="4" t="s">
        <v>49</v>
      </c>
      <c r="C4" s="4" t="s">
        <v>29</v>
      </c>
      <c r="D4" s="4" t="s">
        <v>201</v>
      </c>
      <c r="E4" s="4" t="n">
        <f aca="false">COUNTIF(Trazabilidad!$A$2:$A$73,A4)</f>
        <v>3</v>
      </c>
      <c r="F4" s="4" t="n">
        <f aca="false">COUNTIFS(Trazabilidad!$A$2:$A$73,A4,Trazabilidad!$G$2:$G$73,"Positivo")</f>
        <v>2</v>
      </c>
      <c r="G4" s="4" t="n">
        <f aca="false">COUNTIFS(Trazabilidad!$A$2:$A$73,A4,Trazabilidad!$G$2:$G$73,"Negativo")</f>
        <v>1</v>
      </c>
      <c r="H4" s="4" t="n">
        <f aca="false">COUNTIFS(Trazabilidad!$A$2:$A$73,A4,Trazabilidad!$H$2:$H$73,"&lt;&gt;")</f>
        <v>3</v>
      </c>
      <c r="I4" s="4" t="n">
        <f aca="false">COUNTIFS(Trazabilidad!$A$2:$A$73,A4,Trazabilidad!$I$2:$I$73,"&lt;&gt;")</f>
        <v>0</v>
      </c>
      <c r="J4" s="6" t="n">
        <f aca="false">IF(E4=0,0,H4/E4)</f>
        <v>1</v>
      </c>
      <c r="K4" s="4" t="str">
        <f aca="false">IF(G4=0,"Falta escenario negativo",IF(F4=0,"Falta escenario positivo",IF(H4&lt;E4,"Faltan casos de prueba","OK")))</f>
        <v>OK</v>
      </c>
    </row>
    <row r="5" customFormat="false" ht="15" hidden="false" customHeight="false" outlineLevel="0" collapsed="false">
      <c r="A5" s="4" t="s">
        <v>56</v>
      </c>
      <c r="B5" s="4" t="s">
        <v>57</v>
      </c>
      <c r="C5" s="4" t="s">
        <v>29</v>
      </c>
      <c r="D5" s="4" t="s">
        <v>201</v>
      </c>
      <c r="E5" s="4" t="n">
        <f aca="false">COUNTIF(Trazabilidad!$A$2:$A$73,A5)</f>
        <v>5</v>
      </c>
      <c r="F5" s="4" t="n">
        <f aca="false">COUNTIFS(Trazabilidad!$A$2:$A$73,A5,Trazabilidad!$G$2:$G$73,"Positivo")</f>
        <v>2</v>
      </c>
      <c r="G5" s="4" t="n">
        <f aca="false">COUNTIFS(Trazabilidad!$A$2:$A$73,A5,Trazabilidad!$G$2:$G$73,"Negativo")</f>
        <v>3</v>
      </c>
      <c r="H5" s="4" t="n">
        <f aca="false">COUNTIFS(Trazabilidad!$A$2:$A$73,A5,Trazabilidad!$H$2:$H$73,"&lt;&gt;")</f>
        <v>3</v>
      </c>
      <c r="I5" s="4" t="n">
        <f aca="false">COUNTIFS(Trazabilidad!$A$2:$A$73,A5,Trazabilidad!$I$2:$I$73,"&lt;&gt;")</f>
        <v>0</v>
      </c>
      <c r="J5" s="6" t="n">
        <f aca="false">IF(E5=0,0,H5/E5)</f>
        <v>0.6</v>
      </c>
      <c r="K5" s="4" t="str">
        <f aca="false">IF(G5=0,"Falta escenario negativo",IF(F5=0,"Falta escenario positivo",IF(H5&lt;E5,"Faltan casos de prueba","OK")))</f>
        <v>Faltan casos de prueba</v>
      </c>
    </row>
    <row r="6" customFormat="false" ht="15" hidden="false" customHeight="false" outlineLevel="0" collapsed="false">
      <c r="A6" s="4" t="s">
        <v>70</v>
      </c>
      <c r="B6" s="4" t="s">
        <v>71</v>
      </c>
      <c r="C6" s="4" t="s">
        <v>29</v>
      </c>
      <c r="D6" s="4" t="s">
        <v>201</v>
      </c>
      <c r="E6" s="4" t="n">
        <f aca="false">COUNTIF(Trazabilidad!$A$2:$A$73,A6)</f>
        <v>4</v>
      </c>
      <c r="F6" s="4" t="n">
        <f aca="false">COUNTIFS(Trazabilidad!$A$2:$A$73,A6,Trazabilidad!$G$2:$G$73,"Positivo")</f>
        <v>3</v>
      </c>
      <c r="G6" s="4" t="n">
        <f aca="false">COUNTIFS(Trazabilidad!$A$2:$A$73,A6,Trazabilidad!$G$2:$G$73,"Negativo")</f>
        <v>1</v>
      </c>
      <c r="H6" s="4" t="n">
        <f aca="false">COUNTIFS(Trazabilidad!$A$2:$A$73,A6,Trazabilidad!$H$2:$H$73,"&lt;&gt;")</f>
        <v>4</v>
      </c>
      <c r="I6" s="4" t="n">
        <f aca="false">COUNTIFS(Trazabilidad!$A$2:$A$73,A6,Trazabilidad!$I$2:$I$73,"&lt;&gt;")</f>
        <v>0</v>
      </c>
      <c r="J6" s="6" t="n">
        <f aca="false">IF(E6=0,0,H6/E6)</f>
        <v>1</v>
      </c>
      <c r="K6" s="4" t="str">
        <f aca="false">IF(G6=0,"Falta escenario negativo",IF(F6=0,"Falta escenario positivo",IF(H6&lt;E6,"Faltan casos de prueba","OK")))</f>
        <v>OK</v>
      </c>
    </row>
    <row r="7" customFormat="false" ht="15" hidden="false" customHeight="false" outlineLevel="0" collapsed="false">
      <c r="A7" s="4" t="s">
        <v>80</v>
      </c>
      <c r="B7" s="4" t="s">
        <v>81</v>
      </c>
      <c r="C7" s="4" t="s">
        <v>29</v>
      </c>
      <c r="D7" s="4" t="s">
        <v>201</v>
      </c>
      <c r="E7" s="4" t="n">
        <f aca="false">COUNTIF(Trazabilidad!$A$2:$A$73,A7)</f>
        <v>4</v>
      </c>
      <c r="F7" s="4" t="n">
        <f aca="false">COUNTIFS(Trazabilidad!$A$2:$A$73,A7,Trazabilidad!$G$2:$G$73,"Positivo")</f>
        <v>2</v>
      </c>
      <c r="G7" s="4" t="n">
        <f aca="false">COUNTIFS(Trazabilidad!$A$2:$A$73,A7,Trazabilidad!$G$2:$G$73,"Negativo")</f>
        <v>2</v>
      </c>
      <c r="H7" s="4" t="n">
        <f aca="false">COUNTIFS(Trazabilidad!$A$2:$A$73,A7,Trazabilidad!$H$2:$H$73,"&lt;&gt;")</f>
        <v>4</v>
      </c>
      <c r="I7" s="4" t="n">
        <f aca="false">COUNTIFS(Trazabilidad!$A$2:$A$73,A7,Trazabilidad!$I$2:$I$73,"&lt;&gt;")</f>
        <v>0</v>
      </c>
      <c r="J7" s="6" t="n">
        <f aca="false">IF(E7=0,0,H7/E7)</f>
        <v>1</v>
      </c>
      <c r="K7" s="4" t="str">
        <f aca="false">IF(G7=0,"Falta escenario negativo",IF(F7=0,"Falta escenario positivo",IF(H7&lt;E7,"Faltan casos de prueba","OK")))</f>
        <v>OK</v>
      </c>
    </row>
    <row r="8" customFormat="false" ht="15" hidden="false" customHeight="false" outlineLevel="0" collapsed="false">
      <c r="A8" s="4" t="s">
        <v>91</v>
      </c>
      <c r="B8" s="4" t="s">
        <v>92</v>
      </c>
      <c r="C8" s="4" t="s">
        <v>29</v>
      </c>
      <c r="D8" s="4" t="s">
        <v>201</v>
      </c>
      <c r="E8" s="4" t="n">
        <f aca="false">COUNTIF(Trazabilidad!$A$2:$A$73,A8)</f>
        <v>3</v>
      </c>
      <c r="F8" s="4" t="n">
        <f aca="false">COUNTIFS(Trazabilidad!$A$2:$A$73,A8,Trazabilidad!$G$2:$G$73,"Positivo")</f>
        <v>2</v>
      </c>
      <c r="G8" s="4" t="n">
        <f aca="false">COUNTIFS(Trazabilidad!$A$2:$A$73,A8,Trazabilidad!$G$2:$G$73,"Negativo")</f>
        <v>1</v>
      </c>
      <c r="H8" s="4" t="n">
        <f aca="false">COUNTIFS(Trazabilidad!$A$2:$A$73,A8,Trazabilidad!$H$2:$H$73,"&lt;&gt;")</f>
        <v>2</v>
      </c>
      <c r="I8" s="4" t="n">
        <f aca="false">COUNTIFS(Trazabilidad!$A$2:$A$73,A8,Trazabilidad!$I$2:$I$73,"&lt;&gt;")</f>
        <v>0</v>
      </c>
      <c r="J8" s="6" t="n">
        <f aca="false">IF(E8=0,0,H8/E8)</f>
        <v>0.666666666666667</v>
      </c>
      <c r="K8" s="4" t="str">
        <f aca="false">IF(G8=0,"Falta escenario negativo",IF(F8=0,"Falta escenario positivo",IF(H8&lt;E8,"Faltan casos de prueba","OK")))</f>
        <v>Faltan casos de prueba</v>
      </c>
    </row>
    <row r="9" customFormat="false" ht="15" hidden="false" customHeight="false" outlineLevel="0" collapsed="false">
      <c r="A9" s="4" t="s">
        <v>98</v>
      </c>
      <c r="B9" s="4" t="s">
        <v>99</v>
      </c>
      <c r="C9" s="4" t="s">
        <v>29</v>
      </c>
      <c r="D9" s="4" t="s">
        <v>201</v>
      </c>
      <c r="E9" s="4" t="n">
        <f aca="false">COUNTIF(Trazabilidad!$A$2:$A$73,A9)</f>
        <v>4</v>
      </c>
      <c r="F9" s="4" t="n">
        <f aca="false">COUNTIFS(Trazabilidad!$A$2:$A$73,A9,Trazabilidad!$G$2:$G$73,"Positivo")</f>
        <v>1</v>
      </c>
      <c r="G9" s="4" t="n">
        <f aca="false">COUNTIFS(Trazabilidad!$A$2:$A$73,A9,Trazabilidad!$G$2:$G$73,"Negativo")</f>
        <v>3</v>
      </c>
      <c r="H9" s="4" t="n">
        <f aca="false">COUNTIFS(Trazabilidad!$A$2:$A$73,A9,Trazabilidad!$H$2:$H$73,"&lt;&gt;")</f>
        <v>4</v>
      </c>
      <c r="I9" s="4" t="n">
        <f aca="false">COUNTIFS(Trazabilidad!$A$2:$A$73,A9,Trazabilidad!$I$2:$I$73,"&lt;&gt;")</f>
        <v>0</v>
      </c>
      <c r="J9" s="6" t="n">
        <f aca="false">IF(E9=0,0,H9/E9)</f>
        <v>1</v>
      </c>
      <c r="K9" s="4" t="str">
        <f aca="false">IF(G9=0,"Falta escenario negativo",IF(F9=0,"Falta escenario positivo",IF(H9&lt;E9,"Faltan casos de prueba","OK")))</f>
        <v>OK</v>
      </c>
    </row>
    <row r="10" customFormat="false" ht="15" hidden="false" customHeight="false" outlineLevel="0" collapsed="false">
      <c r="A10" s="4" t="s">
        <v>158</v>
      </c>
      <c r="B10" s="4" t="s">
        <v>159</v>
      </c>
      <c r="C10" s="4" t="s">
        <v>160</v>
      </c>
      <c r="D10" s="4" t="s">
        <v>202</v>
      </c>
      <c r="E10" s="4" t="n">
        <f aca="false">COUNTIF(Trazabilidad!$A$2:$A$73,A10)</f>
        <v>4</v>
      </c>
      <c r="F10" s="4" t="n">
        <f aca="false">COUNTIFS(Trazabilidad!$A$2:$A$73,A10,Trazabilidad!$G$2:$G$73,"Positivo")</f>
        <v>2</v>
      </c>
      <c r="G10" s="4" t="n">
        <f aca="false">COUNTIFS(Trazabilidad!$A$2:$A$73,A10,Trazabilidad!$G$2:$G$73,"Negativo")</f>
        <v>2</v>
      </c>
      <c r="H10" s="4" t="n">
        <f aca="false">COUNTIFS(Trazabilidad!$A$2:$A$73,A10,Trazabilidad!$H$2:$H$73,"&lt;&gt;")</f>
        <v>0</v>
      </c>
      <c r="I10" s="4" t="n">
        <f aca="false">COUNTIFS(Trazabilidad!$A$2:$A$73,A10,Trazabilidad!$I$2:$I$73,"&lt;&gt;")</f>
        <v>0</v>
      </c>
      <c r="J10" s="6" t="n">
        <f aca="false">IF(E10=0,0,H10/E10)</f>
        <v>0</v>
      </c>
      <c r="K10" s="4" t="str">
        <f aca="false">IF(G10=0,"Falta escenario negativo",IF(F10=0,"Falta escenario positivo",IF(H10&lt;E10,"Faltan casos de prueba","OK")))</f>
        <v>Faltan casos de prueba</v>
      </c>
    </row>
    <row r="11" customFormat="false" ht="15" hidden="false" customHeight="false" outlineLevel="0" collapsed="false">
      <c r="A11" s="4" t="s">
        <v>138</v>
      </c>
      <c r="B11" s="4" t="s">
        <v>139</v>
      </c>
      <c r="C11" s="4" t="s">
        <v>29</v>
      </c>
      <c r="D11" s="4" t="s">
        <v>201</v>
      </c>
      <c r="E11" s="4" t="n">
        <f aca="false">COUNTIF(Trazabilidad!$A$2:$A$73,A11)</f>
        <v>4</v>
      </c>
      <c r="F11" s="4" t="n">
        <f aca="false">COUNTIFS(Trazabilidad!$A$2:$A$73,A11,Trazabilidad!$G$2:$G$73,"Positivo")</f>
        <v>3</v>
      </c>
      <c r="G11" s="4" t="n">
        <f aca="false">COUNTIFS(Trazabilidad!$A$2:$A$73,A11,Trazabilidad!$G$2:$G$73,"Negativo")</f>
        <v>1</v>
      </c>
      <c r="H11" s="4" t="n">
        <f aca="false">COUNTIFS(Trazabilidad!$A$2:$A$73,A11,Trazabilidad!$H$2:$H$73,"&lt;&gt;")</f>
        <v>4</v>
      </c>
      <c r="I11" s="4" t="n">
        <f aca="false">COUNTIFS(Trazabilidad!$A$2:$A$73,A11,Trazabilidad!$I$2:$I$73,"&lt;&gt;")</f>
        <v>0</v>
      </c>
      <c r="J11" s="6" t="n">
        <f aca="false">IF(E11=0,0,H11/E11)</f>
        <v>1</v>
      </c>
      <c r="K11" s="4" t="str">
        <f aca="false">IF(G11=0,"Falta escenario negativo",IF(F11=0,"Falta escenario positivo",IF(H11&lt;E11,"Faltan casos de prueba","OK")))</f>
        <v>OK</v>
      </c>
    </row>
    <row r="12" customFormat="false" ht="15" hidden="false" customHeight="false" outlineLevel="0" collapsed="false">
      <c r="A12" s="4" t="s">
        <v>150</v>
      </c>
      <c r="B12" s="4" t="s">
        <v>151</v>
      </c>
      <c r="C12" s="4" t="s">
        <v>29</v>
      </c>
      <c r="D12" s="4" t="s">
        <v>201</v>
      </c>
      <c r="E12" s="4" t="n">
        <f aca="false">COUNTIF(Trazabilidad!$A$2:$A$73,A12)</f>
        <v>3</v>
      </c>
      <c r="F12" s="4" t="n">
        <f aca="false">COUNTIFS(Trazabilidad!$A$2:$A$73,A12,Trazabilidad!$G$2:$G$73,"Positivo")</f>
        <v>2</v>
      </c>
      <c r="G12" s="4" t="n">
        <f aca="false">COUNTIFS(Trazabilidad!$A$2:$A$73,A12,Trazabilidad!$G$2:$G$73,"Negativo")</f>
        <v>1</v>
      </c>
      <c r="H12" s="4" t="n">
        <f aca="false">COUNTIFS(Trazabilidad!$A$2:$A$73,A12,Trazabilidad!$H$2:$H$73,"&lt;&gt;")</f>
        <v>3</v>
      </c>
      <c r="I12" s="4" t="n">
        <f aca="false">COUNTIFS(Trazabilidad!$A$2:$A$73,A12,Trazabilidad!$I$2:$I$73,"&lt;&gt;")</f>
        <v>0</v>
      </c>
      <c r="J12" s="6" t="n">
        <f aca="false">IF(E12=0,0,H12/E12)</f>
        <v>1</v>
      </c>
      <c r="K12" s="4" t="str">
        <f aca="false">IF(G12=0,"Falta escenario negativo",IF(F12=0,"Falta escenario positivo",IF(H12&lt;E12,"Faltan casos de prueba","OK")))</f>
        <v>OK</v>
      </c>
    </row>
    <row r="13" customFormat="false" ht="15" hidden="false" customHeight="false" outlineLevel="0" collapsed="false">
      <c r="A13" s="4" t="s">
        <v>165</v>
      </c>
      <c r="B13" s="4" t="s">
        <v>166</v>
      </c>
      <c r="C13" s="4" t="s">
        <v>160</v>
      </c>
      <c r="D13" s="4" t="s">
        <v>202</v>
      </c>
      <c r="E13" s="4" t="n">
        <f aca="false">COUNTIF(Trazabilidad!$A$2:$A$73,A13)</f>
        <v>3</v>
      </c>
      <c r="F13" s="4" t="n">
        <f aca="false">COUNTIFS(Trazabilidad!$A$2:$A$73,A13,Trazabilidad!$G$2:$G$73,"Positivo")</f>
        <v>2</v>
      </c>
      <c r="G13" s="4" t="n">
        <f aca="false">COUNTIFS(Trazabilidad!$A$2:$A$73,A13,Trazabilidad!$G$2:$G$73,"Negativo")</f>
        <v>1</v>
      </c>
      <c r="H13" s="4" t="n">
        <f aca="false">COUNTIFS(Trazabilidad!$A$2:$A$73,A13,Trazabilidad!$H$2:$H$73,"&lt;&gt;")</f>
        <v>0</v>
      </c>
      <c r="I13" s="4" t="n">
        <f aca="false">COUNTIFS(Trazabilidad!$A$2:$A$73,A13,Trazabilidad!$I$2:$I$73,"&lt;&gt;")</f>
        <v>0</v>
      </c>
      <c r="J13" s="6" t="n">
        <f aca="false">IF(E13=0,0,H13/E13)</f>
        <v>0</v>
      </c>
      <c r="K13" s="4" t="str">
        <f aca="false">IF(G13=0,"Falta escenario negativo",IF(F13=0,"Falta escenario positivo",IF(H13&lt;E13,"Faltan casos de prueba","OK")))</f>
        <v>Faltan casos de prueba</v>
      </c>
    </row>
    <row r="14" customFormat="false" ht="15" hidden="false" customHeight="false" outlineLevel="0" collapsed="false">
      <c r="A14" s="4" t="s">
        <v>109</v>
      </c>
      <c r="B14" s="4" t="s">
        <v>203</v>
      </c>
      <c r="C14" s="4" t="s">
        <v>29</v>
      </c>
      <c r="D14" s="4" t="s">
        <v>201</v>
      </c>
      <c r="E14" s="4" t="n">
        <f aca="false">COUNTIF(Trazabilidad!$A$2:$A$73,A14)</f>
        <v>16</v>
      </c>
      <c r="F14" s="4" t="n">
        <f aca="false">COUNTIFS(Trazabilidad!$A$2:$A$73,A14,Trazabilidad!$G$2:$G$73,"Positivo")</f>
        <v>7</v>
      </c>
      <c r="G14" s="4" t="n">
        <f aca="false">COUNTIFS(Trazabilidad!$A$2:$A$73,A14,Trazabilidad!$G$2:$G$73,"Negativo")</f>
        <v>9</v>
      </c>
      <c r="H14" s="4" t="n">
        <f aca="false">COUNTIFS(Trazabilidad!$A$2:$A$73,A14,Trazabilidad!$H$2:$H$73,"&lt;&gt;")</f>
        <v>9</v>
      </c>
      <c r="I14" s="4" t="n">
        <f aca="false">COUNTIFS(Trazabilidad!$A$2:$A$73,A14,Trazabilidad!$I$2:$I$73,"&lt;&gt;")</f>
        <v>0</v>
      </c>
      <c r="J14" s="6" t="n">
        <f aca="false">IF(E14=0,0,H14/E14)</f>
        <v>0.5625</v>
      </c>
      <c r="K14" s="4" t="str">
        <f aca="false">IF(G14=0,"Falta escenario negativo",IF(F14=0,"Falta escenario positivo",IF(H14&lt;E14,"Faltan casos de prueba","OK")))</f>
        <v>Faltan casos de prueba</v>
      </c>
    </row>
    <row r="15" customFormat="false" ht="15" hidden="false" customHeight="false" outlineLevel="0" collapsed="false">
      <c r="A15" s="4" t="s">
        <v>170</v>
      </c>
      <c r="B15" s="4" t="s">
        <v>171</v>
      </c>
      <c r="C15" s="4" t="s">
        <v>160</v>
      </c>
      <c r="D15" s="4" t="s">
        <v>202</v>
      </c>
      <c r="E15" s="4" t="n">
        <f aca="false">COUNTIF(Trazabilidad!$A$2:$A$73,A15)</f>
        <v>4</v>
      </c>
      <c r="F15" s="4" t="n">
        <f aca="false">COUNTIFS(Trazabilidad!$A$2:$A$73,A15,Trazabilidad!$G$2:$G$73,"Positivo")</f>
        <v>2</v>
      </c>
      <c r="G15" s="4" t="n">
        <f aca="false">COUNTIFS(Trazabilidad!$A$2:$A$73,A15,Trazabilidad!$G$2:$G$73,"Negativo")</f>
        <v>2</v>
      </c>
      <c r="H15" s="4" t="n">
        <f aca="false">COUNTIFS(Trazabilidad!$A$2:$A$73,A15,Trazabilidad!$H$2:$H$73,"&lt;&gt;")</f>
        <v>0</v>
      </c>
      <c r="I15" s="4" t="n">
        <f aca="false">COUNTIFS(Trazabilidad!$A$2:$A$73,A15,Trazabilidad!$I$2:$I$73,"&lt;&gt;")</f>
        <v>0</v>
      </c>
      <c r="J15" s="6" t="n">
        <f aca="false">IF(E15=0,0,H15/E15)</f>
        <v>0</v>
      </c>
      <c r="K15" s="4" t="str">
        <f aca="false">IF(G15=0,"Falta escenario negativo",IF(F15=0,"Falta escenario positivo",IF(H15&lt;E15,"Faltan casos de prueba","OK")))</f>
        <v>Faltan casos de prueba</v>
      </c>
    </row>
    <row r="16" customFormat="false" ht="15" hidden="false" customHeight="false" outlineLevel="0" collapsed="false">
      <c r="A16" s="4" t="s">
        <v>174</v>
      </c>
      <c r="B16" s="4" t="s">
        <v>175</v>
      </c>
      <c r="C16" s="4" t="s">
        <v>160</v>
      </c>
      <c r="D16" s="4" t="s">
        <v>202</v>
      </c>
      <c r="E16" s="4" t="n">
        <f aca="false">COUNTIF(Trazabilidad!$A$2:$A$73,A16)</f>
        <v>2</v>
      </c>
      <c r="F16" s="4" t="n">
        <f aca="false">COUNTIFS(Trazabilidad!$A$2:$A$73,A16,Trazabilidad!$G$2:$G$73,"Positivo")</f>
        <v>1</v>
      </c>
      <c r="G16" s="4" t="n">
        <f aca="false">COUNTIFS(Trazabilidad!$A$2:$A$73,A16,Trazabilidad!$G$2:$G$73,"Negativo")</f>
        <v>1</v>
      </c>
      <c r="H16" s="4" t="n">
        <f aca="false">COUNTIFS(Trazabilidad!$A$2:$A$73,A16,Trazabilidad!$H$2:$H$73,"&lt;&gt;")</f>
        <v>0</v>
      </c>
      <c r="I16" s="4" t="n">
        <f aca="false">COUNTIFS(Trazabilidad!$A$2:$A$73,A16,Trazabilidad!$I$2:$I$73,"&lt;&gt;")</f>
        <v>0</v>
      </c>
      <c r="J16" s="6" t="n">
        <f aca="false">IF(E16=0,0,H16/E16)</f>
        <v>0</v>
      </c>
      <c r="K16" s="4" t="str">
        <f aca="false">IF(G16=0,"Falta escenario negativo",IF(F16=0,"Falta escenario positivo",IF(H16&lt;E16,"Faltan casos de prueba","OK")))</f>
        <v>Faltan casos de prueba</v>
      </c>
    </row>
    <row r="17" customFormat="false" ht="15" hidden="false" customHeight="false" outlineLevel="0" collapsed="false">
      <c r="A17" s="4" t="s">
        <v>178</v>
      </c>
      <c r="B17" s="4" t="s">
        <v>179</v>
      </c>
      <c r="C17" s="4" t="s">
        <v>160</v>
      </c>
      <c r="D17" s="4" t="s">
        <v>202</v>
      </c>
      <c r="E17" s="4" t="n">
        <f aca="false">COUNTIF(Trazabilidad!$A$2:$A$73,A17)</f>
        <v>3</v>
      </c>
      <c r="F17" s="4" t="n">
        <f aca="false">COUNTIFS(Trazabilidad!$A$2:$A$73,A17,Trazabilidad!$G$2:$G$73,"Positivo")</f>
        <v>2</v>
      </c>
      <c r="G17" s="4" t="n">
        <f aca="false">COUNTIFS(Trazabilidad!$A$2:$A$73,A17,Trazabilidad!$G$2:$G$73,"Negativo")</f>
        <v>1</v>
      </c>
      <c r="H17" s="4" t="n">
        <f aca="false">COUNTIFS(Trazabilidad!$A$2:$A$73,A17,Trazabilidad!$H$2:$H$73,"&lt;&gt;")</f>
        <v>0</v>
      </c>
      <c r="I17" s="4" t="n">
        <f aca="false">COUNTIFS(Trazabilidad!$A$2:$A$73,A17,Trazabilidad!$I$2:$I$73,"&lt;&gt;")</f>
        <v>0</v>
      </c>
      <c r="J17" s="6" t="n">
        <f aca="false">IF(E17=0,0,H17/E17)</f>
        <v>0</v>
      </c>
      <c r="K17" s="4" t="str">
        <f aca="false">IF(G17=0,"Falta escenario negativo",IF(F17=0,"Falta escenario positivo",IF(H17&lt;E17,"Faltan casos de prueba","OK")))</f>
        <v>Faltan casos de prueba</v>
      </c>
    </row>
    <row r="18" customFormat="false" ht="15" hidden="false" customHeight="false" outlineLevel="0" collapsed="false">
      <c r="A18" s="4" t="s">
        <v>183</v>
      </c>
      <c r="B18" s="4" t="s">
        <v>184</v>
      </c>
      <c r="C18" s="4" t="s">
        <v>185</v>
      </c>
      <c r="D18" s="4" t="s">
        <v>202</v>
      </c>
      <c r="E18" s="4" t="n">
        <f aca="false">COUNTIF(Trazabilidad!$A$2:$A$73,A18)</f>
        <v>2</v>
      </c>
      <c r="F18" s="4" t="n">
        <f aca="false">COUNTIFS(Trazabilidad!$A$2:$A$73,A18,Trazabilidad!$G$2:$G$73,"Positivo")</f>
        <v>1</v>
      </c>
      <c r="G18" s="4" t="n">
        <f aca="false">COUNTIFS(Trazabilidad!$A$2:$A$73,A18,Trazabilidad!$G$2:$G$73,"Negativo")</f>
        <v>1</v>
      </c>
      <c r="H18" s="4" t="n">
        <f aca="false">COUNTIFS(Trazabilidad!$A$2:$A$73,A18,Trazabilidad!$H$2:$H$73,"&lt;&gt;")</f>
        <v>0</v>
      </c>
      <c r="I18" s="4" t="n">
        <f aca="false">COUNTIFS(Trazabilidad!$A$2:$A$73,A18,Trazabilidad!$I$2:$I$73,"&lt;&gt;")</f>
        <v>0</v>
      </c>
      <c r="J18" s="6" t="n">
        <f aca="false">IF(E18=0,0,H18/E18)</f>
        <v>0</v>
      </c>
      <c r="K18" s="4" t="str">
        <f aca="false">IF(G18=0,"Falta escenario negativo",IF(F18=0,"Falta escenario positivo",IF(H18&lt;E18,"Faltan casos de prueba","OK")))</f>
        <v>Faltan casos de prueba</v>
      </c>
    </row>
    <row r="19" customFormat="false" ht="15" hidden="false" customHeight="false" outlineLevel="0" collapsed="false">
      <c r="A19" s="4" t="s">
        <v>188</v>
      </c>
      <c r="B19" s="4" t="s">
        <v>189</v>
      </c>
      <c r="C19" s="4" t="s">
        <v>185</v>
      </c>
      <c r="D19" s="4" t="s">
        <v>202</v>
      </c>
      <c r="E19" s="4" t="n">
        <f aca="false">COUNTIF(Trazabilidad!$A$2:$A$73,A19)</f>
        <v>2</v>
      </c>
      <c r="F19" s="4" t="n">
        <f aca="false">COUNTIFS(Trazabilidad!$A$2:$A$73,A19,Trazabilidad!$G$2:$G$73,"Positivo")</f>
        <v>1</v>
      </c>
      <c r="G19" s="4" t="n">
        <f aca="false">COUNTIFS(Trazabilidad!$A$2:$A$73,A19,Trazabilidad!$G$2:$G$73,"Negativo")</f>
        <v>1</v>
      </c>
      <c r="H19" s="4" t="n">
        <f aca="false">COUNTIFS(Trazabilidad!$A$2:$A$73,A19,Trazabilidad!$H$2:$H$73,"&lt;&gt;")</f>
        <v>0</v>
      </c>
      <c r="I19" s="4" t="n">
        <f aca="false">COUNTIFS(Trazabilidad!$A$2:$A$73,A19,Trazabilidad!$I$2:$I$73,"&lt;&gt;")</f>
        <v>0</v>
      </c>
      <c r="J19" s="6" t="n">
        <f aca="false">IF(E19=0,0,H19/E19)</f>
        <v>0</v>
      </c>
      <c r="K19" s="4" t="str">
        <f aca="false">IF(G19=0,"Falta escenario negativo",IF(F19=0,"Falta escenario positivo",IF(H19&lt;E19,"Faltan casos de prueba","OK")))</f>
        <v>Faltan casos de prueba</v>
      </c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6"/>
      <c r="K20" s="4"/>
    </row>
    <row r="21" customFormat="false" ht="15" hidden="false" customHeight="false" outlineLevel="0" collapsed="false">
      <c r="A21" s="7" t="s">
        <v>204</v>
      </c>
      <c r="B21" s="7"/>
      <c r="C21" s="7"/>
      <c r="D21" s="7"/>
      <c r="E21" s="7" t="n">
        <f aca="false">SUM(E2:E19)</f>
        <v>72</v>
      </c>
      <c r="F21" s="7" t="n">
        <f aca="false">SUM(F2:F19)</f>
        <v>37</v>
      </c>
      <c r="G21" s="7" t="n">
        <f aca="false">SUM(G2:G19)</f>
        <v>35</v>
      </c>
      <c r="H21" s="7" t="n">
        <f aca="false">SUM(H2:H19)</f>
        <v>42</v>
      </c>
      <c r="I21" s="7" t="n">
        <f aca="false">SUM(I2:I19)</f>
        <v>0</v>
      </c>
      <c r="J21" s="8" t="n">
        <f aca="false">IF(E21=0,0,H21/E21)</f>
        <v>0.583333333333333</v>
      </c>
      <c r="K21" s="7"/>
    </row>
    <row r="22" customFormat="false" ht="15" hidden="false" customHeight="false" outlineLevel="0" collapsed="false">
      <c r="A22" s="7" t="s">
        <v>205</v>
      </c>
      <c r="B22" s="7"/>
      <c r="C22" s="7"/>
      <c r="D22" s="7"/>
      <c r="E22" s="7" t="n">
        <f aca="false">SUMIF($D$2:$D$19,"Sí",E2:E19)</f>
        <v>52</v>
      </c>
      <c r="F22" s="7" t="n">
        <f aca="false">SUMIF($D$2:$D$19,"Sí",F2:F19)</f>
        <v>26</v>
      </c>
      <c r="G22" s="7" t="n">
        <f aca="false">SUMIF($D$2:$D$19,"Sí",G2:G19)</f>
        <v>26</v>
      </c>
      <c r="H22" s="7" t="n">
        <f aca="false">SUMIF($D$2:$D$19,"Sí",H2:H19)</f>
        <v>42</v>
      </c>
      <c r="I22" s="7" t="n">
        <f aca="false">SUMIF($D$2:$D$19,"Sí",I2:I19)</f>
        <v>0</v>
      </c>
      <c r="J22" s="8" t="n">
        <f aca="false">IF(E22=0,0,H22/E22)</f>
        <v>0.807692307692308</v>
      </c>
      <c r="K22" s="7"/>
    </row>
  </sheetData>
  <conditionalFormatting sqref="K2:K19">
    <cfRule type="expression" priority="2" aboveAverage="0" equalAverage="0" bottom="0" percent="0" rank="0" text="" dxfId="9">
      <formula>$K2="OK"</formula>
    </cfRule>
    <cfRule type="expression" priority="3" aboveAverage="0" equalAverage="0" bottom="0" percent="0" rank="0" text="" dxfId="8">
      <formula>AND($K2&lt;&gt;"OK",$K2&lt;&gt;"")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4" min="3" style="0" width="52"/>
  </cols>
  <sheetData>
    <row r="1" customFormat="false" ht="15" hidden="false" customHeight="false" outlineLevel="0" collapsed="false">
      <c r="A1" s="3" t="s">
        <v>206</v>
      </c>
      <c r="B1" s="3" t="s">
        <v>207</v>
      </c>
      <c r="C1" s="3" t="s">
        <v>208</v>
      </c>
      <c r="D1" s="3" t="s">
        <v>209</v>
      </c>
    </row>
    <row r="2" customFormat="false" ht="15" hidden="false" customHeight="false" outlineLevel="0" collapsed="false">
      <c r="A2" s="4" t="s">
        <v>210</v>
      </c>
      <c r="B2" s="4" t="s">
        <v>211</v>
      </c>
      <c r="C2" s="4" t="s">
        <v>212</v>
      </c>
      <c r="D2" s="4" t="s">
        <v>213</v>
      </c>
    </row>
    <row r="3" customFormat="false" ht="15" hidden="false" customHeight="false" outlineLevel="0" collapsed="false">
      <c r="A3" s="4" t="s">
        <v>89</v>
      </c>
      <c r="B3" s="4" t="s">
        <v>214</v>
      </c>
      <c r="C3" s="4" t="s">
        <v>215</v>
      </c>
      <c r="D3" s="4" t="s">
        <v>213</v>
      </c>
    </row>
    <row r="4" customFormat="false" ht="15" hidden="false" customHeight="false" outlineLevel="0" collapsed="false">
      <c r="A4" s="4" t="s">
        <v>216</v>
      </c>
      <c r="B4" s="4" t="s">
        <v>217</v>
      </c>
      <c r="C4" s="4" t="s">
        <v>218</v>
      </c>
      <c r="D4" s="4" t="s">
        <v>219</v>
      </c>
    </row>
    <row r="5" customFormat="false" ht="15" hidden="false" customHeight="false" outlineLevel="0" collapsed="false">
      <c r="A5" s="4" t="s">
        <v>220</v>
      </c>
      <c r="B5" s="4" t="s">
        <v>221</v>
      </c>
      <c r="C5" s="4" t="s">
        <v>222</v>
      </c>
      <c r="D5" s="4" t="s">
        <v>223</v>
      </c>
    </row>
    <row r="6" customFormat="false" ht="15" hidden="false" customHeight="false" outlineLevel="0" collapsed="false">
      <c r="A6" s="4" t="s">
        <v>224</v>
      </c>
      <c r="B6" s="4" t="s">
        <v>225</v>
      </c>
      <c r="C6" s="4" t="s">
        <v>226</v>
      </c>
      <c r="D6" s="4" t="s">
        <v>227</v>
      </c>
    </row>
    <row r="7" customFormat="false" ht="15" hidden="false" customHeight="false" outlineLevel="0" collapsed="false">
      <c r="A7" s="4" t="s">
        <v>228</v>
      </c>
      <c r="B7" s="4" t="s">
        <v>229</v>
      </c>
      <c r="C7" s="4" t="s">
        <v>230</v>
      </c>
      <c r="D7" s="4" t="s">
        <v>231</v>
      </c>
    </row>
    <row r="8" customFormat="false" ht="15" hidden="false" customHeight="false" outlineLevel="0" collapsed="false">
      <c r="A8" s="4" t="s">
        <v>232</v>
      </c>
      <c r="B8" s="4" t="s">
        <v>233</v>
      </c>
      <c r="C8" s="4" t="s">
        <v>234</v>
      </c>
      <c r="D8" s="4" t="s">
        <v>235</v>
      </c>
    </row>
    <row r="9" customFormat="false" ht="15" hidden="false" customHeight="false" outlineLevel="0" collapsed="false">
      <c r="A9" s="4" t="s">
        <v>236</v>
      </c>
      <c r="B9" s="4" t="s">
        <v>237</v>
      </c>
      <c r="C9" s="4" t="s">
        <v>238</v>
      </c>
      <c r="D9" s="4" t="s">
        <v>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2026-10-23T05:08:43Z</dcterms:created>
  <dc:creator>openpyxl</dc:creator>
  <dc:description/>
  <dc:language>en-US</dc:language>
  <cp:lastModifiedBy/>
  <dcterms:modified xsi:type="dcterms:W3CDTF">2026-10-23T05:08:43Z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